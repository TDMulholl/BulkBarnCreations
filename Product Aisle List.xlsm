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9200" windowHeight="7215" tabRatio="816" firstSheet="1" activeTab="7"/>
  </bookViews>
  <sheets>
    <sheet name="Pet Food &amp; Totes" sheetId="1" r:id="rId1"/>
    <sheet name="A1A Nuts" sheetId="7" r:id="rId2"/>
    <sheet name="A1B Baking" sheetId="8" r:id="rId3"/>
    <sheet name="A2A Cereals &amp; Mixes" sheetId="9" r:id="rId4"/>
    <sheet name="A2B Snacks" sheetId="10" r:id="rId5"/>
    <sheet name="A3A Chocolate &amp; Seasonal" sheetId="11" r:id="rId6"/>
    <sheet name="A3B Gummi &amp; Misc. Candy" sheetId="12" r:id="rId7"/>
    <sheet name="A4A Gummi Candy Cont." sheetId="13" r:id="rId8"/>
    <sheet name="A4B Salt, Pasta, &amp; Soup" sheetId="14" r:id="rId9"/>
    <sheet name="Tower Bins" sheetId="15" r:id="rId10"/>
    <sheet name="Wet Pails, Honey, Etc." sheetId="16" r:id="rId11"/>
    <sheet name="A5A&amp;B Gluten-Free, Seeds, Drink" sheetId="17" r:id="rId12"/>
    <sheet name="Coffee &amp; Teas" sheetId="18" r:id="rId13"/>
    <sheet name="Saybon, Stick &amp; Rock Candy" sheetId="21" r:id="rId14"/>
    <sheet name="Spices" sheetId="20" r:id="rId15"/>
    <sheet name="BRI Insert" sheetId="2" r:id="rId16"/>
    <sheet name="Product Names BRI" sheetId="5" r:id="rId17"/>
    <sheet name="MISC" sheetId="6" r:id="rId18"/>
    <sheet name="BRI Original" sheetId="4" r:id="rId19"/>
  </sheets>
  <definedNames>
    <definedName name="_xlnm._FilterDatabase" localSheetId="16" hidden="1">'Product Names BRI'!$A$2:$D$2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47" i="5" l="1"/>
  <c r="B2346" i="5"/>
  <c r="B2345" i="5" l="1"/>
  <c r="B630" i="5"/>
  <c r="B5" i="1"/>
  <c r="G47" i="1"/>
  <c r="F47" i="1"/>
  <c r="C47" i="1"/>
  <c r="B47" i="1"/>
  <c r="F43" i="18" l="1"/>
  <c r="F42" i="18"/>
  <c r="F41" i="18"/>
  <c r="F40" i="18"/>
  <c r="F39" i="18"/>
  <c r="G43" i="18"/>
  <c r="F17" i="18"/>
  <c r="G17" i="18"/>
  <c r="F18" i="18"/>
  <c r="G18" i="18"/>
  <c r="G41" i="18"/>
  <c r="G42" i="18"/>
  <c r="G40" i="18"/>
  <c r="C46" i="1"/>
  <c r="B46" i="1"/>
  <c r="B6" i="7" l="1"/>
  <c r="C6" i="7"/>
  <c r="G7" i="7"/>
  <c r="B7" i="7"/>
  <c r="C7" i="7"/>
  <c r="F10" i="7"/>
  <c r="G10" i="7"/>
  <c r="B8" i="7"/>
  <c r="C8" i="7"/>
  <c r="F11" i="7"/>
  <c r="G11" i="7"/>
  <c r="B9" i="7"/>
  <c r="C9" i="7"/>
  <c r="G12" i="7"/>
  <c r="B10" i="7"/>
  <c r="C10" i="7"/>
  <c r="F13" i="7"/>
  <c r="G13" i="7"/>
  <c r="B11" i="7"/>
  <c r="C11" i="7"/>
  <c r="F14" i="7"/>
  <c r="G14" i="7"/>
  <c r="B12" i="7"/>
  <c r="C12" i="7"/>
  <c r="F15" i="7"/>
  <c r="G15" i="7"/>
  <c r="B13" i="7"/>
  <c r="C13" i="7"/>
  <c r="G16" i="7"/>
  <c r="C14" i="7"/>
  <c r="F17" i="7"/>
  <c r="G17" i="7"/>
  <c r="B15" i="7"/>
  <c r="C15" i="7"/>
  <c r="G18" i="7"/>
  <c r="B16" i="7"/>
  <c r="C16" i="7"/>
  <c r="F19" i="7"/>
  <c r="G19" i="7"/>
  <c r="B17" i="7"/>
  <c r="C17" i="7"/>
  <c r="G20" i="7"/>
  <c r="B38" i="7"/>
  <c r="C38" i="7"/>
  <c r="F21" i="7"/>
  <c r="G21" i="7"/>
  <c r="B18" i="7"/>
  <c r="C18" i="7"/>
  <c r="F23" i="7"/>
  <c r="G23" i="7"/>
  <c r="B35" i="7"/>
  <c r="C35" i="7"/>
  <c r="F24" i="7"/>
  <c r="G24" i="7"/>
  <c r="B19" i="7"/>
  <c r="C19" i="7"/>
  <c r="G25" i="7"/>
  <c r="B20" i="7"/>
  <c r="C20" i="7"/>
  <c r="G26" i="7"/>
  <c r="B21" i="7"/>
  <c r="C21" i="7"/>
  <c r="G27" i="7"/>
  <c r="B22" i="7"/>
  <c r="C22" i="7"/>
  <c r="F29" i="7"/>
  <c r="G29" i="7"/>
  <c r="C23" i="7"/>
  <c r="F30" i="7"/>
  <c r="G30" i="7"/>
  <c r="B24" i="7"/>
  <c r="C24" i="7"/>
  <c r="G31" i="7"/>
  <c r="B25" i="7"/>
  <c r="C25" i="7"/>
  <c r="G33" i="7"/>
  <c r="B26" i="7"/>
  <c r="C26" i="7"/>
  <c r="F35" i="7"/>
  <c r="G35" i="7"/>
  <c r="C27" i="7"/>
  <c r="G36" i="7"/>
  <c r="B28" i="7"/>
  <c r="C28" i="7"/>
  <c r="G38" i="7"/>
  <c r="B29" i="7"/>
  <c r="C29" i="7"/>
  <c r="F6" i="7"/>
  <c r="G6" i="7"/>
  <c r="B30" i="7"/>
  <c r="C30" i="7"/>
  <c r="F22" i="7"/>
  <c r="G22" i="7"/>
  <c r="B31" i="7"/>
  <c r="C31" i="7"/>
  <c r="F8" i="7"/>
  <c r="G8" i="7"/>
  <c r="C32" i="7"/>
  <c r="F9" i="7"/>
  <c r="G9" i="7"/>
  <c r="B33" i="7"/>
  <c r="C33" i="7"/>
  <c r="G32" i="7"/>
  <c r="B34" i="7"/>
  <c r="C34" i="7"/>
  <c r="G34" i="7"/>
  <c r="C36" i="7"/>
  <c r="G37" i="7"/>
  <c r="B37" i="7"/>
  <c r="C37" i="7"/>
  <c r="G39" i="7"/>
  <c r="B39" i="7"/>
  <c r="C39" i="7"/>
  <c r="G28" i="7"/>
  <c r="B40" i="7"/>
  <c r="C40" i="7"/>
  <c r="G40" i="7"/>
  <c r="B41" i="7"/>
  <c r="C41" i="7"/>
  <c r="G41" i="7"/>
  <c r="B42" i="7"/>
  <c r="C42" i="7"/>
  <c r="G42" i="7"/>
  <c r="B43" i="7"/>
  <c r="C43" i="7"/>
  <c r="G43" i="7"/>
  <c r="C44" i="7"/>
  <c r="G44" i="7"/>
  <c r="K49" i="20" l="1"/>
  <c r="J49" i="20"/>
  <c r="G49" i="20"/>
  <c r="F49" i="20"/>
  <c r="C49" i="20"/>
  <c r="B49" i="20"/>
  <c r="K45" i="20"/>
  <c r="K46" i="20"/>
  <c r="K47" i="20"/>
  <c r="K48" i="20"/>
  <c r="J45" i="20"/>
  <c r="J46" i="20"/>
  <c r="J47" i="20"/>
  <c r="J48" i="20"/>
  <c r="G45" i="20"/>
  <c r="G46" i="20"/>
  <c r="G47" i="20"/>
  <c r="G48" i="20"/>
  <c r="F45" i="20"/>
  <c r="F46" i="20"/>
  <c r="F47" i="20"/>
  <c r="F48" i="20"/>
  <c r="C45" i="20"/>
  <c r="C46" i="20"/>
  <c r="C47" i="20"/>
  <c r="C48" i="20"/>
  <c r="B45" i="20"/>
  <c r="B46" i="20"/>
  <c r="B47" i="20"/>
  <c r="B48" i="20"/>
  <c r="G43" i="21"/>
  <c r="C43" i="21"/>
  <c r="G42" i="21"/>
  <c r="C42" i="21"/>
  <c r="G41" i="21"/>
  <c r="C41" i="21"/>
  <c r="G40" i="21"/>
  <c r="C40" i="21"/>
  <c r="G39" i="21"/>
  <c r="C39" i="21"/>
  <c r="G38" i="21"/>
  <c r="C38" i="21"/>
  <c r="G37" i="21"/>
  <c r="C37" i="21"/>
  <c r="G36" i="21"/>
  <c r="C36" i="21"/>
  <c r="G35" i="21"/>
  <c r="C35" i="21"/>
  <c r="G34" i="21"/>
  <c r="C34" i="21"/>
  <c r="G33" i="21"/>
  <c r="C33" i="21"/>
  <c r="G32" i="21"/>
  <c r="C32" i="21"/>
  <c r="G31" i="21"/>
  <c r="C31" i="21"/>
  <c r="G30" i="21"/>
  <c r="C30" i="21"/>
  <c r="G29" i="21"/>
  <c r="C29" i="21"/>
  <c r="G28" i="21"/>
  <c r="C28" i="21"/>
  <c r="G27" i="21"/>
  <c r="C27" i="21"/>
  <c r="G26" i="21"/>
  <c r="C26" i="21"/>
  <c r="G25" i="21"/>
  <c r="C25" i="21"/>
  <c r="G24" i="21"/>
  <c r="C24" i="21"/>
  <c r="G23" i="21"/>
  <c r="C23" i="21"/>
  <c r="G22" i="21"/>
  <c r="C22" i="21"/>
  <c r="G21" i="21"/>
  <c r="C21" i="21"/>
  <c r="G20" i="21"/>
  <c r="C20" i="21"/>
  <c r="G19" i="21"/>
  <c r="C19" i="21"/>
  <c r="G18" i="21"/>
  <c r="C18" i="21"/>
  <c r="G17" i="21"/>
  <c r="C17" i="21"/>
  <c r="G16" i="21"/>
  <c r="C16" i="21"/>
  <c r="G15" i="21"/>
  <c r="C15" i="21"/>
  <c r="G14" i="21"/>
  <c r="C14" i="21"/>
  <c r="G13" i="21"/>
  <c r="C13" i="21"/>
  <c r="G12" i="21"/>
  <c r="C12" i="21"/>
  <c r="G11" i="21"/>
  <c r="C11" i="21"/>
  <c r="G10" i="21"/>
  <c r="C10" i="21"/>
  <c r="G9" i="21"/>
  <c r="C9" i="21"/>
  <c r="G8" i="21"/>
  <c r="C8" i="21"/>
  <c r="G7" i="21"/>
  <c r="C7" i="21"/>
  <c r="G6" i="21"/>
  <c r="C6" i="21"/>
  <c r="B6" i="21"/>
  <c r="G5" i="21"/>
  <c r="C5" i="21"/>
  <c r="B5" i="21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5" i="20"/>
  <c r="G44" i="20"/>
  <c r="F44" i="20"/>
  <c r="C44" i="20"/>
  <c r="B44" i="20"/>
  <c r="G43" i="20"/>
  <c r="F43" i="20"/>
  <c r="C43" i="20"/>
  <c r="B43" i="20"/>
  <c r="G42" i="20"/>
  <c r="F42" i="20"/>
  <c r="C42" i="20"/>
  <c r="B42" i="20"/>
  <c r="G41" i="20"/>
  <c r="F41" i="20"/>
  <c r="C41" i="20"/>
  <c r="B41" i="20"/>
  <c r="G40" i="20"/>
  <c r="F40" i="20"/>
  <c r="C40" i="20"/>
  <c r="B40" i="20"/>
  <c r="G39" i="20"/>
  <c r="F39" i="20"/>
  <c r="C39" i="20"/>
  <c r="B39" i="20"/>
  <c r="G38" i="20"/>
  <c r="F38" i="20"/>
  <c r="C38" i="20"/>
  <c r="B38" i="20"/>
  <c r="G37" i="20"/>
  <c r="F37" i="20"/>
  <c r="C37" i="20"/>
  <c r="B37" i="20"/>
  <c r="G36" i="20"/>
  <c r="F36" i="20"/>
  <c r="C36" i="20"/>
  <c r="B36" i="20"/>
  <c r="G35" i="20"/>
  <c r="F35" i="20"/>
  <c r="C35" i="20"/>
  <c r="B35" i="20"/>
  <c r="G34" i="20"/>
  <c r="F34" i="20"/>
  <c r="C34" i="20"/>
  <c r="B34" i="20"/>
  <c r="G33" i="20"/>
  <c r="F33" i="20"/>
  <c r="C33" i="20"/>
  <c r="B33" i="20"/>
  <c r="G32" i="20"/>
  <c r="F32" i="20"/>
  <c r="C32" i="20"/>
  <c r="B32" i="20"/>
  <c r="G31" i="20"/>
  <c r="F31" i="20"/>
  <c r="C31" i="20"/>
  <c r="B31" i="20"/>
  <c r="G30" i="20"/>
  <c r="F30" i="20"/>
  <c r="C30" i="20"/>
  <c r="B30" i="20"/>
  <c r="G29" i="20"/>
  <c r="F29" i="20"/>
  <c r="C29" i="20"/>
  <c r="B29" i="20"/>
  <c r="G28" i="20"/>
  <c r="F28" i="20"/>
  <c r="C28" i="20"/>
  <c r="B28" i="20"/>
  <c r="G27" i="20"/>
  <c r="F27" i="20"/>
  <c r="C27" i="20"/>
  <c r="B27" i="20"/>
  <c r="G26" i="20"/>
  <c r="F26" i="20"/>
  <c r="C26" i="20"/>
  <c r="B26" i="20"/>
  <c r="G25" i="20"/>
  <c r="F25" i="20"/>
  <c r="C25" i="20"/>
  <c r="B25" i="20"/>
  <c r="G24" i="20"/>
  <c r="F24" i="20"/>
  <c r="C24" i="20"/>
  <c r="B24" i="20"/>
  <c r="G23" i="20"/>
  <c r="F23" i="20"/>
  <c r="C23" i="20"/>
  <c r="B23" i="20"/>
  <c r="G22" i="20"/>
  <c r="F22" i="20"/>
  <c r="C22" i="20"/>
  <c r="B22" i="20"/>
  <c r="G21" i="20"/>
  <c r="F21" i="20"/>
  <c r="C21" i="20"/>
  <c r="B21" i="20"/>
  <c r="G20" i="20"/>
  <c r="F20" i="20"/>
  <c r="C20" i="20"/>
  <c r="B20" i="20"/>
  <c r="G19" i="20"/>
  <c r="F19" i="20"/>
  <c r="C19" i="20"/>
  <c r="B19" i="20"/>
  <c r="G18" i="20"/>
  <c r="F18" i="20"/>
  <c r="C18" i="20"/>
  <c r="B18" i="20"/>
  <c r="G17" i="20"/>
  <c r="F17" i="20"/>
  <c r="C17" i="20"/>
  <c r="B17" i="20"/>
  <c r="G16" i="20"/>
  <c r="F16" i="20"/>
  <c r="C16" i="20"/>
  <c r="B16" i="20"/>
  <c r="G15" i="20"/>
  <c r="F15" i="20"/>
  <c r="C15" i="20"/>
  <c r="B15" i="20"/>
  <c r="G14" i="20"/>
  <c r="F14" i="20"/>
  <c r="C14" i="20"/>
  <c r="B14" i="20"/>
  <c r="G13" i="20"/>
  <c r="F13" i="20"/>
  <c r="C13" i="20"/>
  <c r="B13" i="20"/>
  <c r="G12" i="20"/>
  <c r="F12" i="20"/>
  <c r="C12" i="20"/>
  <c r="B12" i="20"/>
  <c r="G11" i="20"/>
  <c r="F11" i="20"/>
  <c r="C11" i="20"/>
  <c r="B11" i="20"/>
  <c r="G10" i="20"/>
  <c r="F10" i="20"/>
  <c r="C10" i="20"/>
  <c r="B10" i="20"/>
  <c r="G9" i="20"/>
  <c r="F9" i="20"/>
  <c r="C9" i="20"/>
  <c r="B9" i="20"/>
  <c r="G8" i="20"/>
  <c r="F8" i="20"/>
  <c r="C8" i="20"/>
  <c r="B8" i="20"/>
  <c r="G7" i="20"/>
  <c r="F7" i="20"/>
  <c r="C7" i="20"/>
  <c r="B7" i="20"/>
  <c r="G6" i="20"/>
  <c r="F6" i="20"/>
  <c r="C6" i="20"/>
  <c r="B6" i="20"/>
  <c r="G5" i="20"/>
  <c r="F5" i="20"/>
  <c r="C5" i="20"/>
  <c r="B5" i="20"/>
  <c r="G39" i="18"/>
  <c r="C43" i="18"/>
  <c r="G38" i="18"/>
  <c r="C42" i="18"/>
  <c r="G37" i="18"/>
  <c r="C41" i="18"/>
  <c r="G36" i="18"/>
  <c r="C40" i="18"/>
  <c r="G35" i="18"/>
  <c r="C39" i="18"/>
  <c r="G34" i="18"/>
  <c r="C38" i="18"/>
  <c r="G33" i="18"/>
  <c r="C37" i="18"/>
  <c r="G32" i="18"/>
  <c r="C36" i="18"/>
  <c r="G31" i="18"/>
  <c r="C35" i="18"/>
  <c r="G30" i="18"/>
  <c r="C34" i="18"/>
  <c r="G29" i="18"/>
  <c r="C33" i="18"/>
  <c r="G28" i="18"/>
  <c r="C32" i="18"/>
  <c r="G27" i="18"/>
  <c r="C31" i="18"/>
  <c r="G26" i="18"/>
  <c r="C30" i="18"/>
  <c r="G25" i="18"/>
  <c r="C29" i="18"/>
  <c r="G24" i="18"/>
  <c r="C28" i="18"/>
  <c r="G23" i="18"/>
  <c r="C27" i="18"/>
  <c r="G22" i="18"/>
  <c r="C26" i="18"/>
  <c r="C25" i="18"/>
  <c r="C24" i="18"/>
  <c r="C23" i="18"/>
  <c r="C22" i="18"/>
  <c r="C21" i="18"/>
  <c r="C20" i="18"/>
  <c r="G16" i="18"/>
  <c r="C19" i="18"/>
  <c r="G15" i="18"/>
  <c r="C18" i="18"/>
  <c r="G14" i="18"/>
  <c r="C17" i="18"/>
  <c r="G13" i="18"/>
  <c r="C16" i="18"/>
  <c r="G12" i="18"/>
  <c r="C15" i="18"/>
  <c r="G11" i="18"/>
  <c r="C14" i="18"/>
  <c r="G10" i="18"/>
  <c r="C13" i="18"/>
  <c r="G9" i="18"/>
  <c r="C12" i="18"/>
  <c r="G8" i="18"/>
  <c r="C11" i="18"/>
  <c r="G7" i="18"/>
  <c r="C10" i="18"/>
  <c r="G6" i="18"/>
  <c r="C9" i="18"/>
  <c r="G5" i="18"/>
  <c r="C8" i="18"/>
  <c r="G4" i="18"/>
  <c r="C7" i="18"/>
  <c r="G3" i="18"/>
  <c r="C6" i="18"/>
  <c r="C5" i="18"/>
  <c r="B5" i="18"/>
  <c r="G43" i="17"/>
  <c r="C43" i="17"/>
  <c r="G42" i="17"/>
  <c r="C42" i="17"/>
  <c r="G41" i="17"/>
  <c r="C41" i="17"/>
  <c r="G40" i="17"/>
  <c r="C40" i="17"/>
  <c r="G39" i="17"/>
  <c r="C39" i="17"/>
  <c r="G38" i="17"/>
  <c r="C38" i="17"/>
  <c r="G37" i="17"/>
  <c r="C37" i="17"/>
  <c r="G36" i="17"/>
  <c r="C36" i="17"/>
  <c r="G35" i="17"/>
  <c r="C35" i="17"/>
  <c r="G34" i="17"/>
  <c r="C34" i="17"/>
  <c r="G33" i="17"/>
  <c r="C33" i="17"/>
  <c r="G32" i="17"/>
  <c r="C32" i="17"/>
  <c r="G31" i="17"/>
  <c r="C31" i="17"/>
  <c r="G30" i="17"/>
  <c r="C30" i="17"/>
  <c r="G29" i="17"/>
  <c r="C29" i="17"/>
  <c r="G28" i="17"/>
  <c r="C28" i="17"/>
  <c r="G27" i="17"/>
  <c r="C27" i="17"/>
  <c r="G26" i="17"/>
  <c r="C26" i="17"/>
  <c r="G25" i="17"/>
  <c r="C25" i="17"/>
  <c r="G24" i="17"/>
  <c r="C24" i="17"/>
  <c r="G23" i="17"/>
  <c r="C23" i="17"/>
  <c r="G22" i="17"/>
  <c r="C22" i="17"/>
  <c r="G21" i="17"/>
  <c r="C21" i="17"/>
  <c r="G20" i="17"/>
  <c r="C20" i="17"/>
  <c r="G19" i="17"/>
  <c r="C19" i="17"/>
  <c r="G18" i="17"/>
  <c r="C18" i="17"/>
  <c r="G17" i="17"/>
  <c r="C17" i="17"/>
  <c r="G16" i="17"/>
  <c r="C16" i="17"/>
  <c r="G15" i="17"/>
  <c r="C15" i="17"/>
  <c r="G14" i="17"/>
  <c r="C14" i="17"/>
  <c r="G13" i="17"/>
  <c r="C13" i="17"/>
  <c r="G12" i="17"/>
  <c r="C12" i="17"/>
  <c r="G11" i="17"/>
  <c r="C11" i="17"/>
  <c r="G10" i="17"/>
  <c r="C10" i="17"/>
  <c r="G9" i="17"/>
  <c r="C9" i="17"/>
  <c r="G8" i="17"/>
  <c r="C8" i="17"/>
  <c r="G7" i="17"/>
  <c r="C7" i="17"/>
  <c r="G6" i="17"/>
  <c r="C6" i="17"/>
  <c r="G5" i="17"/>
  <c r="C5" i="17"/>
  <c r="G43" i="16" l="1"/>
  <c r="C43" i="16"/>
  <c r="G42" i="16"/>
  <c r="C42" i="16"/>
  <c r="G41" i="16"/>
  <c r="C41" i="16"/>
  <c r="G40" i="16"/>
  <c r="C40" i="16"/>
  <c r="G39" i="16"/>
  <c r="C39" i="16"/>
  <c r="G38" i="16"/>
  <c r="C38" i="16"/>
  <c r="G37" i="16"/>
  <c r="C37" i="16"/>
  <c r="G36" i="16"/>
  <c r="C36" i="16"/>
  <c r="G35" i="16"/>
  <c r="C35" i="16"/>
  <c r="G34" i="16"/>
  <c r="C34" i="16"/>
  <c r="G33" i="16"/>
  <c r="C33" i="16"/>
  <c r="G32" i="16"/>
  <c r="C32" i="16"/>
  <c r="G31" i="16"/>
  <c r="C31" i="16"/>
  <c r="G30" i="16"/>
  <c r="C30" i="16"/>
  <c r="G29" i="16"/>
  <c r="C29" i="16"/>
  <c r="G28" i="16"/>
  <c r="C28" i="16"/>
  <c r="G27" i="16"/>
  <c r="C27" i="16"/>
  <c r="G26" i="16"/>
  <c r="C26" i="16"/>
  <c r="G25" i="16"/>
  <c r="C25" i="16"/>
  <c r="G24" i="16"/>
  <c r="C24" i="16"/>
  <c r="G23" i="16"/>
  <c r="C23" i="16"/>
  <c r="G22" i="16"/>
  <c r="C22" i="16"/>
  <c r="G21" i="16"/>
  <c r="C21" i="16"/>
  <c r="G20" i="16"/>
  <c r="C20" i="16"/>
  <c r="G19" i="16"/>
  <c r="C19" i="16"/>
  <c r="G18" i="16"/>
  <c r="C18" i="16"/>
  <c r="B18" i="16"/>
  <c r="G17" i="16"/>
  <c r="C17" i="16"/>
  <c r="B17" i="16"/>
  <c r="G16" i="16"/>
  <c r="C16" i="16"/>
  <c r="B16" i="16"/>
  <c r="G15" i="16"/>
  <c r="C15" i="16"/>
  <c r="B15" i="16"/>
  <c r="G14" i="16"/>
  <c r="C14" i="16"/>
  <c r="B14" i="16"/>
  <c r="G13" i="16"/>
  <c r="C13" i="16"/>
  <c r="B13" i="16"/>
  <c r="G12" i="16"/>
  <c r="C12" i="16"/>
  <c r="B12" i="16"/>
  <c r="G11" i="16"/>
  <c r="C11" i="16"/>
  <c r="B11" i="16"/>
  <c r="G10" i="16"/>
  <c r="C10" i="16"/>
  <c r="B10" i="16"/>
  <c r="G9" i="16"/>
  <c r="C9" i="16"/>
  <c r="B9" i="16"/>
  <c r="G8" i="16"/>
  <c r="C8" i="16"/>
  <c r="B8" i="16"/>
  <c r="G7" i="16"/>
  <c r="C7" i="16"/>
  <c r="B7" i="16"/>
  <c r="G6" i="16"/>
  <c r="F6" i="16"/>
  <c r="C6" i="16"/>
  <c r="B6" i="16"/>
  <c r="G5" i="16"/>
  <c r="F5" i="16"/>
  <c r="C5" i="16"/>
  <c r="B5" i="16"/>
  <c r="G43" i="15"/>
  <c r="C43" i="15"/>
  <c r="G42" i="15"/>
  <c r="C42" i="15"/>
  <c r="G41" i="15"/>
  <c r="C41" i="15"/>
  <c r="G40" i="15"/>
  <c r="C40" i="15"/>
  <c r="G39" i="15"/>
  <c r="C39" i="15"/>
  <c r="G38" i="15"/>
  <c r="C38" i="15"/>
  <c r="G37" i="15"/>
  <c r="C37" i="15"/>
  <c r="G36" i="15"/>
  <c r="C36" i="15"/>
  <c r="G35" i="15"/>
  <c r="C35" i="15"/>
  <c r="G34" i="15"/>
  <c r="C34" i="15"/>
  <c r="G33" i="15"/>
  <c r="C33" i="15"/>
  <c r="G32" i="15"/>
  <c r="C32" i="15"/>
  <c r="G31" i="15"/>
  <c r="C31" i="15"/>
  <c r="G30" i="15"/>
  <c r="C30" i="15"/>
  <c r="G29" i="15"/>
  <c r="C29" i="15"/>
  <c r="G28" i="15"/>
  <c r="C28" i="15"/>
  <c r="G27" i="15"/>
  <c r="C27" i="15"/>
  <c r="G26" i="15"/>
  <c r="C26" i="15"/>
  <c r="G25" i="15"/>
  <c r="C25" i="15"/>
  <c r="G24" i="15"/>
  <c r="C24" i="15"/>
  <c r="G23" i="15"/>
  <c r="C23" i="15"/>
  <c r="G22" i="15"/>
  <c r="C22" i="15"/>
  <c r="G21" i="15"/>
  <c r="C21" i="15"/>
  <c r="G20" i="15"/>
  <c r="C20" i="15"/>
  <c r="G19" i="15"/>
  <c r="C19" i="15"/>
  <c r="G18" i="15"/>
  <c r="C18" i="15"/>
  <c r="G17" i="15"/>
  <c r="C17" i="15"/>
  <c r="G16" i="15"/>
  <c r="C16" i="15"/>
  <c r="G15" i="15"/>
  <c r="C15" i="15"/>
  <c r="G14" i="15"/>
  <c r="C14" i="15"/>
  <c r="G13" i="15"/>
  <c r="C13" i="15"/>
  <c r="G12" i="15"/>
  <c r="C12" i="15"/>
  <c r="G11" i="15"/>
  <c r="C11" i="15"/>
  <c r="G10" i="15"/>
  <c r="C10" i="15"/>
  <c r="G9" i="15"/>
  <c r="C9" i="15"/>
  <c r="G8" i="15"/>
  <c r="C8" i="15"/>
  <c r="G7" i="15"/>
  <c r="C7" i="15"/>
  <c r="G6" i="15"/>
  <c r="C6" i="15"/>
  <c r="G5" i="15"/>
  <c r="C5" i="15"/>
  <c r="G43" i="14"/>
  <c r="C43" i="14"/>
  <c r="G42" i="14"/>
  <c r="C42" i="14"/>
  <c r="G41" i="14"/>
  <c r="C41" i="14"/>
  <c r="G40" i="14"/>
  <c r="C40" i="14"/>
  <c r="G39" i="14"/>
  <c r="C39" i="14"/>
  <c r="G38" i="14"/>
  <c r="C38" i="14"/>
  <c r="G37" i="14"/>
  <c r="C37" i="14"/>
  <c r="G36" i="14"/>
  <c r="C36" i="14"/>
  <c r="G35" i="14"/>
  <c r="C35" i="14"/>
  <c r="G34" i="14"/>
  <c r="C34" i="14"/>
  <c r="G33" i="14"/>
  <c r="C33" i="14"/>
  <c r="G32" i="14"/>
  <c r="C32" i="14"/>
  <c r="G31" i="14"/>
  <c r="C31" i="14"/>
  <c r="G30" i="14"/>
  <c r="C30" i="14"/>
  <c r="G29" i="14"/>
  <c r="C29" i="14"/>
  <c r="G28" i="14"/>
  <c r="C28" i="14"/>
  <c r="G27" i="14"/>
  <c r="C27" i="14"/>
  <c r="G26" i="14"/>
  <c r="C26" i="14"/>
  <c r="G25" i="14"/>
  <c r="C25" i="14"/>
  <c r="G24" i="14"/>
  <c r="C24" i="14"/>
  <c r="G23" i="14"/>
  <c r="C23" i="14"/>
  <c r="G22" i="14"/>
  <c r="C22" i="14"/>
  <c r="G21" i="14"/>
  <c r="C21" i="14"/>
  <c r="G20" i="14"/>
  <c r="C20" i="14"/>
  <c r="G19" i="14"/>
  <c r="C19" i="14"/>
  <c r="G18" i="14"/>
  <c r="C18" i="14"/>
  <c r="G17" i="14"/>
  <c r="C17" i="14"/>
  <c r="G16" i="14"/>
  <c r="C16" i="14"/>
  <c r="G15" i="14"/>
  <c r="C15" i="14"/>
  <c r="G14" i="14"/>
  <c r="C14" i="14"/>
  <c r="G13" i="14"/>
  <c r="C13" i="14"/>
  <c r="G12" i="14"/>
  <c r="C12" i="14"/>
  <c r="G11" i="14"/>
  <c r="C11" i="14"/>
  <c r="G10" i="14"/>
  <c r="C10" i="14"/>
  <c r="G9" i="14"/>
  <c r="C9" i="14"/>
  <c r="G8" i="14"/>
  <c r="C8" i="14"/>
  <c r="G7" i="14"/>
  <c r="C7" i="14"/>
  <c r="G6" i="14"/>
  <c r="C6" i="14"/>
  <c r="G5" i="14"/>
  <c r="C5" i="14"/>
  <c r="G43" i="13"/>
  <c r="C43" i="13"/>
  <c r="G42" i="13"/>
  <c r="C42" i="13"/>
  <c r="G41" i="13"/>
  <c r="C41" i="13"/>
  <c r="G40" i="13"/>
  <c r="C40" i="13"/>
  <c r="G39" i="13"/>
  <c r="C39" i="13"/>
  <c r="G38" i="13"/>
  <c r="C38" i="13"/>
  <c r="G37" i="13"/>
  <c r="C37" i="13"/>
  <c r="G36" i="13"/>
  <c r="C36" i="13"/>
  <c r="G35" i="13"/>
  <c r="C35" i="13"/>
  <c r="G34" i="13"/>
  <c r="C34" i="13"/>
  <c r="G33" i="13"/>
  <c r="C33" i="13"/>
  <c r="G32" i="13"/>
  <c r="C32" i="13"/>
  <c r="G31" i="13"/>
  <c r="C31" i="13"/>
  <c r="G30" i="13"/>
  <c r="C30" i="13"/>
  <c r="G29" i="13"/>
  <c r="C29" i="13"/>
  <c r="G28" i="13"/>
  <c r="C28" i="13"/>
  <c r="G27" i="13"/>
  <c r="C27" i="13"/>
  <c r="G26" i="13"/>
  <c r="C26" i="13"/>
  <c r="G25" i="13"/>
  <c r="C25" i="13"/>
  <c r="G24" i="13"/>
  <c r="C24" i="13"/>
  <c r="G23" i="13"/>
  <c r="C23" i="13"/>
  <c r="G22" i="13"/>
  <c r="C22" i="13"/>
  <c r="G21" i="13"/>
  <c r="C21" i="13"/>
  <c r="G20" i="13"/>
  <c r="C20" i="13"/>
  <c r="G19" i="13"/>
  <c r="C19" i="13"/>
  <c r="G18" i="13"/>
  <c r="C18" i="13"/>
  <c r="G17" i="13"/>
  <c r="C17" i="13"/>
  <c r="G16" i="13"/>
  <c r="C16" i="13"/>
  <c r="G15" i="13"/>
  <c r="C15" i="13"/>
  <c r="G14" i="13"/>
  <c r="C14" i="13"/>
  <c r="G13" i="13"/>
  <c r="C13" i="13"/>
  <c r="G12" i="13"/>
  <c r="C12" i="13"/>
  <c r="G11" i="13"/>
  <c r="C11" i="13"/>
  <c r="G10" i="13"/>
  <c r="C10" i="13"/>
  <c r="G9" i="13"/>
  <c r="C9" i="13"/>
  <c r="G8" i="13"/>
  <c r="C8" i="13"/>
  <c r="G7" i="13"/>
  <c r="C7" i="13"/>
  <c r="G6" i="13"/>
  <c r="C6" i="13"/>
  <c r="G5" i="13"/>
  <c r="C5" i="13"/>
  <c r="G43" i="12"/>
  <c r="C43" i="12"/>
  <c r="G42" i="12"/>
  <c r="C42" i="12"/>
  <c r="G41" i="12"/>
  <c r="C41" i="12"/>
  <c r="G40" i="12"/>
  <c r="C40" i="12"/>
  <c r="G39" i="12"/>
  <c r="C39" i="12"/>
  <c r="G38" i="12"/>
  <c r="C38" i="12"/>
  <c r="G37" i="12"/>
  <c r="C37" i="12"/>
  <c r="G36" i="12"/>
  <c r="C36" i="12"/>
  <c r="G35" i="12"/>
  <c r="C35" i="12"/>
  <c r="G34" i="12"/>
  <c r="C34" i="12"/>
  <c r="G33" i="12"/>
  <c r="C33" i="12"/>
  <c r="G32" i="12"/>
  <c r="C32" i="12"/>
  <c r="G31" i="12"/>
  <c r="C31" i="12"/>
  <c r="G30" i="12"/>
  <c r="C30" i="12"/>
  <c r="G29" i="12"/>
  <c r="C29" i="12"/>
  <c r="G28" i="12"/>
  <c r="C28" i="12"/>
  <c r="G27" i="12"/>
  <c r="C27" i="12"/>
  <c r="G26" i="12"/>
  <c r="C26" i="12"/>
  <c r="G25" i="12"/>
  <c r="C25" i="12"/>
  <c r="G24" i="12"/>
  <c r="C24" i="12"/>
  <c r="G23" i="12"/>
  <c r="C23" i="12"/>
  <c r="G22" i="12"/>
  <c r="C22" i="12"/>
  <c r="G21" i="12"/>
  <c r="C21" i="12"/>
  <c r="G20" i="12"/>
  <c r="C20" i="12"/>
  <c r="G19" i="12"/>
  <c r="C19" i="12"/>
  <c r="G18" i="12"/>
  <c r="C18" i="12"/>
  <c r="G17" i="12"/>
  <c r="C17" i="12"/>
  <c r="G16" i="12"/>
  <c r="C16" i="12"/>
  <c r="G15" i="12"/>
  <c r="C15" i="12"/>
  <c r="G14" i="12"/>
  <c r="C14" i="12"/>
  <c r="G13" i="12"/>
  <c r="C13" i="12"/>
  <c r="G12" i="12"/>
  <c r="C12" i="12"/>
  <c r="G11" i="12"/>
  <c r="C11" i="12"/>
  <c r="G10" i="12"/>
  <c r="C10" i="12"/>
  <c r="G9" i="12"/>
  <c r="C9" i="12"/>
  <c r="G8" i="12"/>
  <c r="C8" i="12"/>
  <c r="G7" i="12"/>
  <c r="C7" i="12"/>
  <c r="G6" i="12"/>
  <c r="C6" i="12"/>
  <c r="G5" i="12"/>
  <c r="C5" i="12"/>
  <c r="G43" i="11"/>
  <c r="C43" i="11"/>
  <c r="G42" i="11"/>
  <c r="C42" i="11"/>
  <c r="G41" i="11"/>
  <c r="C41" i="11"/>
  <c r="G40" i="11"/>
  <c r="C40" i="11"/>
  <c r="G39" i="11"/>
  <c r="C39" i="11"/>
  <c r="G38" i="11"/>
  <c r="C38" i="11"/>
  <c r="G37" i="11"/>
  <c r="C37" i="11"/>
  <c r="G36" i="11"/>
  <c r="C36" i="11"/>
  <c r="G35" i="11"/>
  <c r="C35" i="11"/>
  <c r="G34" i="11"/>
  <c r="C34" i="11"/>
  <c r="G33" i="11"/>
  <c r="C33" i="11"/>
  <c r="G32" i="11"/>
  <c r="C32" i="11"/>
  <c r="G31" i="11"/>
  <c r="C31" i="11"/>
  <c r="G30" i="11"/>
  <c r="C30" i="11"/>
  <c r="G29" i="11"/>
  <c r="C29" i="11"/>
  <c r="G28" i="11"/>
  <c r="C28" i="11"/>
  <c r="G27" i="11"/>
  <c r="C27" i="11"/>
  <c r="G26" i="11"/>
  <c r="C26" i="11"/>
  <c r="G25" i="11"/>
  <c r="C25" i="11"/>
  <c r="G24" i="11"/>
  <c r="C24" i="11"/>
  <c r="G23" i="11"/>
  <c r="C23" i="11"/>
  <c r="G22" i="11"/>
  <c r="C22" i="11"/>
  <c r="G21" i="11"/>
  <c r="C21" i="11"/>
  <c r="G20" i="11"/>
  <c r="C20" i="11"/>
  <c r="G19" i="11"/>
  <c r="C19" i="11"/>
  <c r="G18" i="11"/>
  <c r="C18" i="11"/>
  <c r="G17" i="11"/>
  <c r="C17" i="11"/>
  <c r="G16" i="11"/>
  <c r="C16" i="11"/>
  <c r="G15" i="11"/>
  <c r="C15" i="11"/>
  <c r="G14" i="11"/>
  <c r="C14" i="11"/>
  <c r="G13" i="11"/>
  <c r="C13" i="11"/>
  <c r="G12" i="11"/>
  <c r="C12" i="11"/>
  <c r="G11" i="11"/>
  <c r="C11" i="11"/>
  <c r="G10" i="11"/>
  <c r="C10" i="11"/>
  <c r="G9" i="11"/>
  <c r="C9" i="11"/>
  <c r="G8" i="11"/>
  <c r="C8" i="11"/>
  <c r="G7" i="11"/>
  <c r="C7" i="11"/>
  <c r="G6" i="11"/>
  <c r="C6" i="11"/>
  <c r="G5" i="11"/>
  <c r="C5" i="11"/>
  <c r="G43" i="10"/>
  <c r="C43" i="10"/>
  <c r="G42" i="10"/>
  <c r="C42" i="10"/>
  <c r="G41" i="10"/>
  <c r="C41" i="10"/>
  <c r="G40" i="10"/>
  <c r="C40" i="10"/>
  <c r="G39" i="10"/>
  <c r="C39" i="10"/>
  <c r="G38" i="10"/>
  <c r="C38" i="10"/>
  <c r="G37" i="10"/>
  <c r="C37" i="10"/>
  <c r="G36" i="10"/>
  <c r="C36" i="10"/>
  <c r="G35" i="10"/>
  <c r="C35" i="10"/>
  <c r="G34" i="10"/>
  <c r="C34" i="10"/>
  <c r="G33" i="10"/>
  <c r="C33" i="10"/>
  <c r="G32" i="10"/>
  <c r="C32" i="10"/>
  <c r="G31" i="10"/>
  <c r="C31" i="10"/>
  <c r="G30" i="10"/>
  <c r="C30" i="10"/>
  <c r="G29" i="10"/>
  <c r="C29" i="10"/>
  <c r="G28" i="10"/>
  <c r="C28" i="10"/>
  <c r="G27" i="10"/>
  <c r="C27" i="10"/>
  <c r="G26" i="10"/>
  <c r="C26" i="10"/>
  <c r="G25" i="10"/>
  <c r="C25" i="10"/>
  <c r="G24" i="10"/>
  <c r="C24" i="10"/>
  <c r="G23" i="10"/>
  <c r="C23" i="10"/>
  <c r="G22" i="10"/>
  <c r="C22" i="10"/>
  <c r="G21" i="10"/>
  <c r="C21" i="10"/>
  <c r="G20" i="10"/>
  <c r="C20" i="10"/>
  <c r="G19" i="10"/>
  <c r="C19" i="10"/>
  <c r="G18" i="10"/>
  <c r="C18" i="10"/>
  <c r="G17" i="10"/>
  <c r="C17" i="10"/>
  <c r="G16" i="10"/>
  <c r="C16" i="10"/>
  <c r="G15" i="10"/>
  <c r="C15" i="10"/>
  <c r="G14" i="10"/>
  <c r="C14" i="10"/>
  <c r="G13" i="10"/>
  <c r="C13" i="10"/>
  <c r="G12" i="10"/>
  <c r="C12" i="10"/>
  <c r="G11" i="10"/>
  <c r="C11" i="10"/>
  <c r="G10" i="10"/>
  <c r="C10" i="10"/>
  <c r="G9" i="10"/>
  <c r="C9" i="10"/>
  <c r="G8" i="10"/>
  <c r="C8" i="10"/>
  <c r="G7" i="10"/>
  <c r="C7" i="10"/>
  <c r="G6" i="10"/>
  <c r="C6" i="10"/>
  <c r="G5" i="10"/>
  <c r="C5" i="10"/>
  <c r="G43" i="9"/>
  <c r="C43" i="9"/>
  <c r="G42" i="9"/>
  <c r="C42" i="9"/>
  <c r="G41" i="9"/>
  <c r="C41" i="9"/>
  <c r="G40" i="9"/>
  <c r="C40" i="9"/>
  <c r="G39" i="9"/>
  <c r="C39" i="9"/>
  <c r="G38" i="9"/>
  <c r="C38" i="9"/>
  <c r="G37" i="9"/>
  <c r="C37" i="9"/>
  <c r="G36" i="9"/>
  <c r="C36" i="9"/>
  <c r="G35" i="9"/>
  <c r="C35" i="9"/>
  <c r="G34" i="9"/>
  <c r="C34" i="9"/>
  <c r="G33" i="9"/>
  <c r="C33" i="9"/>
  <c r="G32" i="9"/>
  <c r="C32" i="9"/>
  <c r="G31" i="9"/>
  <c r="C31" i="9"/>
  <c r="G30" i="9"/>
  <c r="C30" i="9"/>
  <c r="G29" i="9"/>
  <c r="C29" i="9"/>
  <c r="G28" i="9"/>
  <c r="C28" i="9"/>
  <c r="G27" i="9"/>
  <c r="C27" i="9"/>
  <c r="G26" i="9"/>
  <c r="C26" i="9"/>
  <c r="G25" i="9"/>
  <c r="C25" i="9"/>
  <c r="G24" i="9"/>
  <c r="C24" i="9"/>
  <c r="G23" i="9"/>
  <c r="C23" i="9"/>
  <c r="G22" i="9"/>
  <c r="C22" i="9"/>
  <c r="G21" i="9"/>
  <c r="C21" i="9"/>
  <c r="G20" i="9"/>
  <c r="C20" i="9"/>
  <c r="G19" i="9"/>
  <c r="C19" i="9"/>
  <c r="G18" i="9"/>
  <c r="C18" i="9"/>
  <c r="G17" i="9"/>
  <c r="C17" i="9"/>
  <c r="G16" i="9"/>
  <c r="C16" i="9"/>
  <c r="G15" i="9"/>
  <c r="C15" i="9"/>
  <c r="G14" i="9"/>
  <c r="C14" i="9"/>
  <c r="G13" i="9"/>
  <c r="C13" i="9"/>
  <c r="G12" i="9"/>
  <c r="C12" i="9"/>
  <c r="G11" i="9"/>
  <c r="C11" i="9"/>
  <c r="G10" i="9"/>
  <c r="C10" i="9"/>
  <c r="G9" i="9"/>
  <c r="C9" i="9"/>
  <c r="G8" i="9"/>
  <c r="C8" i="9"/>
  <c r="G7" i="9"/>
  <c r="C7" i="9"/>
  <c r="G6" i="9"/>
  <c r="C6" i="9"/>
  <c r="G5" i="9"/>
  <c r="C5" i="9"/>
  <c r="G46" i="1"/>
  <c r="F46" i="1"/>
  <c r="B650" i="5" l="1"/>
  <c r="F44" i="1" s="1"/>
  <c r="B649" i="5"/>
  <c r="B648" i="5"/>
  <c r="F41" i="1" s="1"/>
  <c r="G44" i="1"/>
  <c r="G45" i="1"/>
  <c r="F45" i="1"/>
  <c r="C44" i="1"/>
  <c r="C45" i="1"/>
  <c r="G43" i="8"/>
  <c r="C42" i="8"/>
  <c r="B42" i="8"/>
  <c r="G42" i="8"/>
  <c r="F42" i="8"/>
  <c r="C41" i="8"/>
  <c r="B41" i="8"/>
  <c r="G41" i="8"/>
  <c r="F41" i="8"/>
  <c r="C40" i="8"/>
  <c r="B40" i="8"/>
  <c r="G40" i="8"/>
  <c r="F40" i="8"/>
  <c r="C43" i="8"/>
  <c r="B43" i="8"/>
  <c r="G39" i="8"/>
  <c r="F39" i="8"/>
  <c r="C39" i="8"/>
  <c r="B39" i="8"/>
  <c r="G38" i="8"/>
  <c r="F38" i="8"/>
  <c r="C38" i="8"/>
  <c r="B38" i="8"/>
  <c r="G37" i="8"/>
  <c r="F37" i="8"/>
  <c r="C37" i="8"/>
  <c r="B37" i="8"/>
  <c r="G36" i="8"/>
  <c r="F36" i="8"/>
  <c r="C36" i="8"/>
  <c r="B36" i="8"/>
  <c r="G35" i="8"/>
  <c r="F35" i="8"/>
  <c r="C35" i="8"/>
  <c r="B35" i="8"/>
  <c r="G34" i="8"/>
  <c r="F34" i="8"/>
  <c r="C34" i="8"/>
  <c r="B34" i="8"/>
  <c r="G33" i="8"/>
  <c r="F33" i="8"/>
  <c r="C33" i="8"/>
  <c r="B33" i="8"/>
  <c r="G32" i="8"/>
  <c r="F32" i="8"/>
  <c r="C32" i="8"/>
  <c r="B32" i="8"/>
  <c r="G31" i="8"/>
  <c r="F31" i="8"/>
  <c r="C31" i="8"/>
  <c r="B31" i="8"/>
  <c r="G30" i="8"/>
  <c r="F30" i="8"/>
  <c r="C30" i="8"/>
  <c r="B30" i="8"/>
  <c r="G29" i="8"/>
  <c r="F29" i="8"/>
  <c r="C29" i="8"/>
  <c r="B29" i="8"/>
  <c r="G28" i="8"/>
  <c r="F28" i="8"/>
  <c r="C28" i="8"/>
  <c r="B28" i="8"/>
  <c r="G27" i="8"/>
  <c r="F27" i="8"/>
  <c r="C11" i="8"/>
  <c r="B11" i="8"/>
  <c r="G26" i="8"/>
  <c r="F26" i="8"/>
  <c r="C26" i="8"/>
  <c r="B26" i="8"/>
  <c r="G25" i="8"/>
  <c r="F25" i="8"/>
  <c r="C23" i="8"/>
  <c r="B23" i="8"/>
  <c r="G24" i="8"/>
  <c r="F24" i="8"/>
  <c r="C19" i="8"/>
  <c r="B19" i="8"/>
  <c r="G23" i="8"/>
  <c r="F23" i="8"/>
  <c r="C18" i="8"/>
  <c r="B18" i="8"/>
  <c r="G22" i="8"/>
  <c r="F22" i="8"/>
  <c r="C17" i="8"/>
  <c r="B17" i="8"/>
  <c r="G21" i="8"/>
  <c r="F21" i="8"/>
  <c r="C21" i="8"/>
  <c r="B21" i="8"/>
  <c r="G20" i="8"/>
  <c r="F20" i="8"/>
  <c r="C20" i="8"/>
  <c r="B20" i="8"/>
  <c r="G19" i="8"/>
  <c r="F19" i="8"/>
  <c r="C27" i="8"/>
  <c r="B27" i="8"/>
  <c r="G18" i="8"/>
  <c r="F18" i="8"/>
  <c r="C22" i="8"/>
  <c r="B22" i="8"/>
  <c r="G17" i="8"/>
  <c r="F17" i="8"/>
  <c r="C25" i="8"/>
  <c r="B25" i="8"/>
  <c r="G16" i="8"/>
  <c r="F16" i="8"/>
  <c r="C16" i="8"/>
  <c r="B16" i="8"/>
  <c r="G15" i="8"/>
  <c r="F15" i="8"/>
  <c r="C10" i="8"/>
  <c r="B10" i="8"/>
  <c r="G14" i="8"/>
  <c r="F14" i="8"/>
  <c r="C13" i="8"/>
  <c r="B13" i="8"/>
  <c r="G13" i="8"/>
  <c r="F13" i="8"/>
  <c r="C14" i="8"/>
  <c r="B14" i="8"/>
  <c r="G12" i="8"/>
  <c r="F12" i="8"/>
  <c r="C9" i="8"/>
  <c r="B9" i="8"/>
  <c r="G11" i="8"/>
  <c r="F11" i="8"/>
  <c r="C12" i="8"/>
  <c r="B12" i="8"/>
  <c r="G10" i="8"/>
  <c r="F10" i="8"/>
  <c r="C7" i="8"/>
  <c r="B7" i="8"/>
  <c r="G9" i="8"/>
  <c r="F9" i="8"/>
  <c r="C15" i="8"/>
  <c r="B15" i="8"/>
  <c r="G8" i="8"/>
  <c r="F8" i="8"/>
  <c r="C8" i="8"/>
  <c r="B8" i="8"/>
  <c r="G7" i="8"/>
  <c r="F7" i="8"/>
  <c r="C24" i="8"/>
  <c r="B24" i="8"/>
  <c r="G6" i="8"/>
  <c r="F6" i="8"/>
  <c r="C6" i="8"/>
  <c r="B6" i="8"/>
  <c r="G5" i="8"/>
  <c r="F5" i="8"/>
  <c r="C5" i="8"/>
  <c r="B5" i="8"/>
  <c r="B629" i="5"/>
  <c r="F43" i="8" s="1"/>
  <c r="B14" i="7"/>
  <c r="B631" i="5"/>
  <c r="B23" i="7" s="1"/>
  <c r="B632" i="5"/>
  <c r="B27" i="7" s="1"/>
  <c r="B633" i="5"/>
  <c r="B32" i="7" s="1"/>
  <c r="B634" i="5"/>
  <c r="B36" i="7" s="1"/>
  <c r="B635" i="5"/>
  <c r="B44" i="7" s="1"/>
  <c r="B636" i="5"/>
  <c r="F7" i="7" s="1"/>
  <c r="B637" i="5"/>
  <c r="F12" i="7" s="1"/>
  <c r="B638" i="5"/>
  <c r="F16" i="7" s="1"/>
  <c r="B639" i="5"/>
  <c r="F18" i="7" s="1"/>
  <c r="B640" i="5"/>
  <c r="F20" i="7" s="1"/>
  <c r="B641" i="5"/>
  <c r="F25" i="7" s="1"/>
  <c r="B642" i="5"/>
  <c r="F26" i="7" s="1"/>
  <c r="B643" i="5"/>
  <c r="F27" i="7" s="1"/>
  <c r="B644" i="5"/>
  <c r="F31" i="7" s="1"/>
  <c r="B645" i="5"/>
  <c r="F33" i="7" s="1"/>
  <c r="B646" i="5"/>
  <c r="F36" i="7" s="1"/>
  <c r="B647" i="5"/>
  <c r="F38" i="7" s="1"/>
  <c r="B38" i="1"/>
  <c r="B37" i="1"/>
  <c r="B36" i="1"/>
  <c r="B600" i="5"/>
  <c r="B601" i="5"/>
  <c r="B14" i="1" s="1"/>
  <c r="B602" i="5"/>
  <c r="B603" i="5"/>
  <c r="B17" i="1" s="1"/>
  <c r="B604" i="5"/>
  <c r="B18" i="1" s="1"/>
  <c r="B605" i="5"/>
  <c r="B19" i="1" s="1"/>
  <c r="B606" i="5"/>
  <c r="B22" i="1" s="1"/>
  <c r="B607" i="5"/>
  <c r="B23" i="1" s="1"/>
  <c r="B608" i="5"/>
  <c r="B24" i="1" s="1"/>
  <c r="B609" i="5"/>
  <c r="B30" i="1" s="1"/>
  <c r="B610" i="5"/>
  <c r="B31" i="1" s="1"/>
  <c r="B611" i="5"/>
  <c r="B34" i="1" s="1"/>
  <c r="B612" i="5"/>
  <c r="B35" i="1" s="1"/>
  <c r="B613" i="5"/>
  <c r="F5" i="1" s="1"/>
  <c r="B614" i="5"/>
  <c r="B615" i="5"/>
  <c r="B616" i="5"/>
  <c r="B617" i="5"/>
  <c r="B618" i="5"/>
  <c r="F11" i="1" s="1"/>
  <c r="B619" i="5"/>
  <c r="F13" i="1" s="1"/>
  <c r="B620" i="5"/>
  <c r="F15" i="1" s="1"/>
  <c r="B621" i="5"/>
  <c r="F16" i="1" s="1"/>
  <c r="B622" i="5"/>
  <c r="F18" i="1" s="1"/>
  <c r="B623" i="5"/>
  <c r="B624" i="5"/>
  <c r="B625" i="5"/>
  <c r="F25" i="1" s="1"/>
  <c r="B626" i="5"/>
  <c r="F27" i="1" s="1"/>
  <c r="B627" i="5"/>
  <c r="F29" i="1" s="1"/>
  <c r="B628" i="5"/>
  <c r="F38" i="1" s="1"/>
  <c r="B599" i="5"/>
  <c r="B10" i="1" s="1"/>
  <c r="B13" i="1"/>
  <c r="F9" i="1"/>
  <c r="B11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8" i="1"/>
  <c r="G29" i="1"/>
  <c r="G30" i="1"/>
  <c r="G31" i="1"/>
  <c r="G32" i="1"/>
  <c r="G35" i="1"/>
  <c r="G36" i="1"/>
  <c r="G37" i="1"/>
  <c r="G38" i="1"/>
  <c r="G39" i="1"/>
  <c r="G40" i="1"/>
  <c r="G41" i="1"/>
  <c r="G42" i="1"/>
  <c r="G43" i="1"/>
  <c r="G33" i="1"/>
  <c r="G34" i="1"/>
  <c r="G27" i="1"/>
  <c r="G5" i="1"/>
  <c r="C6" i="1"/>
  <c r="C7" i="1"/>
  <c r="C36" i="1"/>
  <c r="C3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8" i="1"/>
  <c r="C39" i="1"/>
  <c r="C40" i="1"/>
  <c r="C41" i="1"/>
  <c r="C42" i="1"/>
  <c r="C43" i="1"/>
  <c r="C5" i="1"/>
  <c r="F6" i="1"/>
  <c r="F8" i="1"/>
  <c r="F10" i="1"/>
  <c r="F12" i="1"/>
  <c r="F14" i="1"/>
  <c r="F17" i="1"/>
  <c r="F20" i="1"/>
  <c r="F21" i="1"/>
  <c r="F23" i="1"/>
  <c r="F24" i="1"/>
  <c r="F26" i="1"/>
  <c r="F28" i="1"/>
  <c r="F30" i="1"/>
  <c r="F31" i="1"/>
  <c r="F32" i="1"/>
  <c r="F35" i="1"/>
  <c r="F36" i="1"/>
  <c r="F37" i="1"/>
  <c r="F39" i="1"/>
  <c r="F40" i="1"/>
  <c r="F42" i="1"/>
  <c r="F43" i="1"/>
  <c r="F33" i="1"/>
  <c r="F34" i="1"/>
  <c r="B6" i="1"/>
  <c r="B7" i="1"/>
  <c r="B8" i="1"/>
  <c r="B9" i="1"/>
  <c r="B12" i="1"/>
  <c r="B15" i="1"/>
  <c r="B16" i="1"/>
  <c r="B21" i="1"/>
  <c r="B25" i="1"/>
  <c r="B26" i="1"/>
  <c r="B27" i="1"/>
  <c r="B28" i="1"/>
  <c r="B29" i="1"/>
  <c r="B32" i="1"/>
  <c r="B33" i="1"/>
  <c r="B39" i="1"/>
  <c r="B40" i="1"/>
  <c r="B41" i="1"/>
  <c r="B42" i="1"/>
  <c r="B43" i="1"/>
  <c r="F22" i="1" l="1"/>
  <c r="F7" i="1"/>
  <c r="F32" i="7"/>
  <c r="F39" i="7"/>
  <c r="F41" i="7"/>
  <c r="F43" i="7"/>
  <c r="F44" i="7"/>
  <c r="F34" i="7"/>
  <c r="F37" i="7"/>
  <c r="F28" i="7"/>
  <c r="F40" i="7"/>
  <c r="F42" i="7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8" i="21"/>
  <c r="F7" i="21"/>
  <c r="F6" i="21"/>
  <c r="F5" i="21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F43" i="21"/>
  <c r="B43" i="21"/>
  <c r="F42" i="21"/>
  <c r="B42" i="21"/>
  <c r="F41" i="21"/>
  <c r="B41" i="21"/>
  <c r="F40" i="21"/>
  <c r="B40" i="21"/>
  <c r="F39" i="21"/>
  <c r="B39" i="21"/>
  <c r="F38" i="21"/>
  <c r="B38" i="21"/>
  <c r="F37" i="21"/>
  <c r="B37" i="21"/>
  <c r="F36" i="21"/>
  <c r="B36" i="21"/>
  <c r="F35" i="21"/>
  <c r="B35" i="21"/>
  <c r="F34" i="21"/>
  <c r="B34" i="21"/>
  <c r="F33" i="21"/>
  <c r="B33" i="21"/>
  <c r="F32" i="21"/>
  <c r="B32" i="21"/>
  <c r="F31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16" i="18"/>
  <c r="F15" i="18"/>
  <c r="F14" i="18"/>
  <c r="F13" i="18"/>
  <c r="F12" i="18"/>
  <c r="F11" i="18"/>
  <c r="F10" i="18"/>
  <c r="F9" i="18"/>
  <c r="F8" i="18"/>
  <c r="F7" i="18"/>
  <c r="F6" i="18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F5" i="18"/>
  <c r="B8" i="18"/>
  <c r="F4" i="18"/>
  <c r="B7" i="18"/>
  <c r="F3" i="18"/>
  <c r="B6" i="18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3" i="16"/>
  <c r="B43" i="16"/>
  <c r="F42" i="16"/>
  <c r="B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5" i="16"/>
  <c r="F14" i="16"/>
  <c r="F13" i="16"/>
  <c r="F12" i="16"/>
  <c r="F11" i="16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3" i="14"/>
  <c r="F42" i="14"/>
  <c r="F41" i="14"/>
  <c r="F40" i="14"/>
  <c r="F39" i="14"/>
  <c r="F38" i="14"/>
  <c r="F37" i="14"/>
  <c r="F36" i="14"/>
  <c r="F35" i="14"/>
  <c r="F34" i="14"/>
  <c r="F33" i="14"/>
  <c r="F32" i="14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F16" i="16"/>
  <c r="F10" i="16"/>
  <c r="F9" i="16"/>
  <c r="F8" i="16"/>
  <c r="F7" i="16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B10" i="14"/>
  <c r="F9" i="14"/>
  <c r="B8" i="14"/>
  <c r="B7" i="14"/>
  <c r="B6" i="14"/>
  <c r="B5" i="14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B5" i="13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F21" i="10"/>
  <c r="F20" i="10"/>
  <c r="F19" i="10"/>
  <c r="F18" i="10"/>
  <c r="F31" i="14"/>
  <c r="F30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F10" i="14"/>
  <c r="B9" i="14"/>
  <c r="F8" i="14"/>
  <c r="F7" i="14"/>
  <c r="F6" i="14"/>
  <c r="F5" i="14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B44" i="1"/>
  <c r="B20" i="1"/>
  <c r="F19" i="1"/>
  <c r="B45" i="1"/>
  <c r="E800" i="2"/>
  <c r="E799" i="2"/>
  <c r="E798" i="2"/>
  <c r="E797" i="2"/>
  <c r="E796" i="2"/>
  <c r="E795" i="2"/>
  <c r="E794" i="2"/>
  <c r="E793" i="2"/>
  <c r="E792" i="2"/>
  <c r="E791" i="2"/>
  <c r="E790" i="2"/>
  <c r="E789" i="2"/>
  <c r="E788" i="2"/>
  <c r="E787" i="2"/>
  <c r="E786" i="2"/>
  <c r="E785" i="2"/>
  <c r="E784" i="2"/>
  <c r="E783" i="2"/>
  <c r="E782" i="2"/>
  <c r="E781" i="2"/>
  <c r="E780" i="2"/>
  <c r="E779" i="2"/>
  <c r="E778" i="2"/>
  <c r="E777" i="2"/>
  <c r="E776" i="2"/>
  <c r="E775" i="2"/>
  <c r="E774" i="2"/>
  <c r="E773" i="2"/>
  <c r="E772" i="2"/>
  <c r="E771" i="2"/>
  <c r="E770" i="2"/>
  <c r="E769" i="2"/>
  <c r="E768" i="2"/>
  <c r="E767" i="2"/>
  <c r="E766" i="2"/>
  <c r="E765" i="2"/>
  <c r="E764" i="2"/>
  <c r="E763" i="2"/>
  <c r="E762" i="2"/>
  <c r="E761" i="2"/>
  <c r="E760" i="2"/>
  <c r="E759" i="2"/>
  <c r="E758" i="2"/>
  <c r="E757" i="2"/>
  <c r="E756" i="2"/>
  <c r="E755" i="2"/>
  <c r="E754" i="2"/>
  <c r="E753" i="2"/>
  <c r="E752" i="2"/>
  <c r="E751" i="2"/>
  <c r="E750" i="2"/>
  <c r="E749" i="2"/>
  <c r="E748" i="2"/>
  <c r="E747" i="2"/>
  <c r="E746" i="2"/>
  <c r="E745" i="2"/>
  <c r="E744" i="2"/>
  <c r="E743" i="2"/>
  <c r="E742" i="2"/>
  <c r="E741" i="2"/>
  <c r="E740" i="2"/>
  <c r="E739" i="2"/>
  <c r="E738" i="2"/>
  <c r="E737" i="2"/>
  <c r="E736" i="2"/>
  <c r="E735" i="2"/>
  <c r="E734" i="2"/>
  <c r="E733" i="2"/>
  <c r="E732" i="2"/>
  <c r="E731" i="2"/>
  <c r="E730" i="2"/>
  <c r="E729" i="2"/>
  <c r="E728" i="2"/>
  <c r="E727" i="2"/>
  <c r="E726" i="2"/>
  <c r="E725" i="2"/>
  <c r="E724" i="2"/>
  <c r="E723" i="2"/>
  <c r="E722" i="2"/>
  <c r="E721" i="2"/>
  <c r="E720" i="2"/>
  <c r="E719" i="2"/>
  <c r="E718" i="2"/>
  <c r="E717" i="2"/>
  <c r="E716" i="2"/>
  <c r="E715" i="2"/>
  <c r="E714" i="2"/>
  <c r="E713" i="2"/>
  <c r="E712" i="2"/>
  <c r="E711" i="2"/>
  <c r="E710" i="2"/>
  <c r="E709" i="2"/>
  <c r="E708" i="2"/>
  <c r="E707" i="2"/>
  <c r="E706" i="2"/>
  <c r="E705" i="2"/>
  <c r="E704" i="2"/>
  <c r="E703" i="2"/>
  <c r="E702" i="2"/>
  <c r="E701" i="2"/>
  <c r="E700" i="2"/>
  <c r="E699" i="2"/>
  <c r="E698" i="2"/>
  <c r="E697" i="2"/>
  <c r="E696" i="2"/>
  <c r="E695" i="2"/>
  <c r="E694" i="2"/>
  <c r="E693" i="2"/>
  <c r="E692" i="2"/>
  <c r="E691" i="2"/>
  <c r="E690" i="2"/>
  <c r="E689" i="2"/>
  <c r="E688" i="2"/>
  <c r="E687" i="2"/>
  <c r="E686" i="2"/>
  <c r="E685" i="2"/>
  <c r="E684" i="2"/>
  <c r="E683" i="2"/>
  <c r="E682" i="2"/>
  <c r="E681" i="2"/>
  <c r="E680" i="2"/>
  <c r="E679" i="2"/>
  <c r="E678" i="2"/>
  <c r="E677" i="2"/>
  <c r="E676" i="2"/>
  <c r="E675" i="2"/>
  <c r="E674" i="2"/>
  <c r="E673" i="2"/>
  <c r="E672" i="2"/>
  <c r="E671" i="2"/>
  <c r="E670" i="2"/>
  <c r="E669" i="2"/>
  <c r="E668" i="2"/>
  <c r="E667" i="2"/>
  <c r="E666" i="2"/>
  <c r="E665" i="2"/>
  <c r="E664" i="2"/>
  <c r="E663" i="2"/>
  <c r="E662" i="2"/>
  <c r="E661" i="2"/>
  <c r="E660" i="2"/>
  <c r="E659" i="2"/>
  <c r="E658" i="2"/>
  <c r="E657" i="2"/>
  <c r="E656" i="2"/>
  <c r="E655" i="2"/>
  <c r="E654" i="2"/>
  <c r="E653" i="2"/>
  <c r="E652" i="2"/>
  <c r="E651" i="2"/>
  <c r="E650" i="2"/>
  <c r="E649" i="2"/>
  <c r="E648" i="2"/>
  <c r="E647" i="2"/>
  <c r="E646" i="2"/>
  <c r="E645" i="2"/>
  <c r="E644" i="2"/>
  <c r="E643" i="2"/>
  <c r="E642" i="2"/>
  <c r="E641" i="2"/>
  <c r="E640" i="2"/>
  <c r="E639" i="2"/>
  <c r="E638" i="2"/>
  <c r="E637" i="2"/>
  <c r="E636" i="2"/>
  <c r="E635" i="2"/>
  <c r="E634" i="2"/>
  <c r="E633" i="2"/>
  <c r="E632" i="2"/>
  <c r="E631" i="2"/>
  <c r="E630" i="2"/>
  <c r="E629" i="2"/>
  <c r="E628" i="2"/>
  <c r="E627" i="2"/>
  <c r="E626" i="2"/>
  <c r="E625" i="2"/>
  <c r="E624" i="2"/>
  <c r="E623" i="2"/>
  <c r="E622" i="2"/>
  <c r="E621" i="2"/>
  <c r="E620" i="2"/>
  <c r="E619" i="2"/>
  <c r="E618" i="2"/>
  <c r="E617" i="2"/>
  <c r="E616" i="2"/>
  <c r="E615" i="2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</calcChain>
</file>

<file path=xl/sharedStrings.xml><?xml version="1.0" encoding="utf-8"?>
<sst xmlns="http://schemas.openxmlformats.org/spreadsheetml/2006/main" count="4556" uniqueCount="2103">
  <si>
    <t>BRI</t>
  </si>
  <si>
    <t>Qty</t>
  </si>
  <si>
    <t>TREAT YOURSELFIE TRAIL MIX</t>
  </si>
  <si>
    <t>2</t>
  </si>
  <si>
    <t>HUNGRY, HUNGRY HIPPIE TRAIL MX</t>
  </si>
  <si>
    <t>5</t>
  </si>
  <si>
    <t>BA-ZING-A! SNACK MIX</t>
  </si>
  <si>
    <t>6</t>
  </si>
  <si>
    <t>NUTS OVER SESAME SNACK MIX</t>
  </si>
  <si>
    <t>7</t>
  </si>
  <si>
    <t>CRUNCHIE MUNCHIE MIX,SWT&amp;SALTY</t>
  </si>
  <si>
    <t>9</t>
  </si>
  <si>
    <t>GARDEN OF EATIN TRAIL MIX</t>
  </si>
  <si>
    <t>WHITE - POPPING CORN</t>
  </si>
  <si>
    <t>13</t>
  </si>
  <si>
    <t>CHEESE STICKS</t>
  </si>
  <si>
    <t>CASSAVA CHIPS - SPICY</t>
  </si>
  <si>
    <t>16</t>
  </si>
  <si>
    <t>BBQ CORN CHIPS</t>
  </si>
  <si>
    <t>17</t>
  </si>
  <si>
    <t>CORN CHIPS - PLAIN</t>
  </si>
  <si>
    <t>19</t>
  </si>
  <si>
    <t>CORNNUTS SALTED</t>
  </si>
  <si>
    <t>21</t>
  </si>
  <si>
    <t>PLANTAIN CHIPS (SPICY)</t>
  </si>
  <si>
    <t>BANANA CHIPS</t>
  </si>
  <si>
    <t>PUMPKIN SEEDS HULLED R&amp;S</t>
  </si>
  <si>
    <t>29</t>
  </si>
  <si>
    <t>PLANTAIN CHIPS</t>
  </si>
  <si>
    <t>31</t>
  </si>
  <si>
    <t>GARLIC SESAME STICK</t>
  </si>
  <si>
    <t>CORNNUTS BBQ</t>
  </si>
  <si>
    <t>37</t>
  </si>
  <si>
    <t>CHEESE CRUNCHIES</t>
  </si>
  <si>
    <t>39</t>
  </si>
  <si>
    <t>BITS &amp; BITES ORIGINAL</t>
  </si>
  <si>
    <t>41</t>
  </si>
  <si>
    <t>BITS &amp; BITES BBQ</t>
  </si>
  <si>
    <t>PUMPKIN SEED IN SH. DRY R&amp;S</t>
  </si>
  <si>
    <t>ORIENTAL RICE CRACKERS</t>
  </si>
  <si>
    <t>48</t>
  </si>
  <si>
    <t>PLAIN - POTATO STICKS</t>
  </si>
  <si>
    <t>BACON HICKORY STICKS</t>
  </si>
  <si>
    <t>RINGOLOS - BBQ</t>
  </si>
  <si>
    <t>ONION RINGS SOUR CREAM</t>
  </si>
  <si>
    <t>53</t>
  </si>
  <si>
    <t>PARTY MIX</t>
  </si>
  <si>
    <t>54</t>
  </si>
  <si>
    <t>CORN CHIPS WITH FLAX</t>
  </si>
  <si>
    <t>55</t>
  </si>
  <si>
    <t>FORTUNE COOKIES</t>
  </si>
  <si>
    <t>58</t>
  </si>
  <si>
    <t>PRETZEL TWIST SALTED</t>
  </si>
  <si>
    <t>61</t>
  </si>
  <si>
    <t>WAFFLE PRETZELS SALTED</t>
  </si>
  <si>
    <t>67</t>
  </si>
  <si>
    <t>CRANBERRY CLASSIC TRAILMIX</t>
  </si>
  <si>
    <t>SOURDOUGH DUTCH PRETZELS</t>
  </si>
  <si>
    <t>71</t>
  </si>
  <si>
    <t>PRETZEL TWISTS NO SALT ADDED</t>
  </si>
  <si>
    <t>74</t>
  </si>
  <si>
    <t>DARK CHOCOLATE COV. PRETZELS</t>
  </si>
  <si>
    <t>78</t>
  </si>
  <si>
    <t>PINEAPPLE WEDGES DRIED</t>
  </si>
  <si>
    <t>86</t>
  </si>
  <si>
    <t>HONEY MUSTARD SOURDOUGH BITS</t>
  </si>
  <si>
    <t>96</t>
  </si>
  <si>
    <t>GREEN PEAS</t>
  </si>
  <si>
    <t>100</t>
  </si>
  <si>
    <t>PEANUTS BLNCHD R&amp;S</t>
  </si>
  <si>
    <t>101</t>
  </si>
  <si>
    <t>UNSALTD BLNCHD PNUTS</t>
  </si>
  <si>
    <t>102</t>
  </si>
  <si>
    <t>PEANUTS RAW BLANCHED</t>
  </si>
  <si>
    <t>105</t>
  </si>
  <si>
    <t>SMOKEHOUSE BBQ PEANUTS</t>
  </si>
  <si>
    <t>VIRGINIA PEANUTS R&amp;S</t>
  </si>
  <si>
    <t>107</t>
  </si>
  <si>
    <t>UNSALTED VIRGINIA PEANUTS</t>
  </si>
  <si>
    <t>BLANCHED VIRGINIA PEANUTS R&amp;S</t>
  </si>
  <si>
    <t>113</t>
  </si>
  <si>
    <t>CASHEWS R&amp;S</t>
  </si>
  <si>
    <t>114</t>
  </si>
  <si>
    <t>UNSALTED CASHEWS</t>
  </si>
  <si>
    <t>115</t>
  </si>
  <si>
    <t>UNSALTED CASHEW PIECES</t>
  </si>
  <si>
    <t>118</t>
  </si>
  <si>
    <t>ALMONDS DRY ROASTED &amp; SALTED</t>
  </si>
  <si>
    <t>119</t>
  </si>
  <si>
    <t>UNSALTED DELUXE MIXED NUTS N/P</t>
  </si>
  <si>
    <t>120</t>
  </si>
  <si>
    <t>UNSALTED ALMONDS DRY ROASTED</t>
  </si>
  <si>
    <t>123</t>
  </si>
  <si>
    <t>DRY ROASTED SALTED CASHEWS</t>
  </si>
  <si>
    <t>124</t>
  </si>
  <si>
    <t>TAMARI ALMONDS</t>
  </si>
  <si>
    <t>125</t>
  </si>
  <si>
    <t>DRY ROASTED UNSALT CASHEWS</t>
  </si>
  <si>
    <t>127</t>
  </si>
  <si>
    <t>PISTACHIOS NAT. MEDITERRANEAN</t>
  </si>
  <si>
    <t>128</t>
  </si>
  <si>
    <t>DELUXE MIX NUTS R&amp;S N/P</t>
  </si>
  <si>
    <t>129</t>
  </si>
  <si>
    <t>MIXED NUTS WITH PEANUTS</t>
  </si>
  <si>
    <t>BLNCHED VIRGINIA PNUTS RST/NS</t>
  </si>
  <si>
    <t>PRALINE NUT MIX</t>
  </si>
  <si>
    <t>SUNFLOWER SEEDS HULL R&amp;S</t>
  </si>
  <si>
    <t>139</t>
  </si>
  <si>
    <t>HULLED RAW SUNFLOWER SEEDS</t>
  </si>
  <si>
    <t>140</t>
  </si>
  <si>
    <t>UNSALTED HULLED SUNFLOWER</t>
  </si>
  <si>
    <t>163</t>
  </si>
  <si>
    <t>NAT. PISTACHIOS UNSALTED MED.</t>
  </si>
  <si>
    <t>182</t>
  </si>
  <si>
    <t>INSHELL PEANUTS DRY R/UNSALT</t>
  </si>
  <si>
    <t>183</t>
  </si>
  <si>
    <t>IN SHELL PEANUTS RST &amp; SALTED</t>
  </si>
  <si>
    <t>209</t>
  </si>
  <si>
    <t>ALL PURPOSE FLOUR MWWI</t>
  </si>
  <si>
    <t>216</t>
  </si>
  <si>
    <t>COCONUT PALM SUGAR ORGANIC</t>
  </si>
  <si>
    <t>227</t>
  </si>
  <si>
    <t>LEM.POPPY SD CREAM CAKE/MUF MX</t>
  </si>
  <si>
    <t>241</t>
  </si>
  <si>
    <t>TEFF FLOUR - MWWI</t>
  </si>
  <si>
    <t>247</t>
  </si>
  <si>
    <t>BRAN MUFFIN MIX</t>
  </si>
  <si>
    <t>248</t>
  </si>
  <si>
    <t>HULLED HEMP SEED</t>
  </si>
  <si>
    <t>252</t>
  </si>
  <si>
    <t>MACARONI &amp; CHEESE SAUCE MIX</t>
  </si>
  <si>
    <t>253</t>
  </si>
  <si>
    <t>PIE CRUST MIX</t>
  </si>
  <si>
    <t>254</t>
  </si>
  <si>
    <t>UNBLEACHED ALL PURPOSE FLOUR</t>
  </si>
  <si>
    <t>255</t>
  </si>
  <si>
    <t>PICKLING SALT</t>
  </si>
  <si>
    <t>BAKE SODA</t>
  </si>
  <si>
    <t>261</t>
  </si>
  <si>
    <t>BAKING POWDER (DOUBLE ACTION)</t>
  </si>
  <si>
    <t>POPPY SEED WHOLE</t>
  </si>
  <si>
    <t>FINE SEA SALT</t>
  </si>
  <si>
    <t>RICE FLOUR WHITE MWWI</t>
  </si>
  <si>
    <t>270</t>
  </si>
  <si>
    <t>GELATINE UNFLAVOURED</t>
  </si>
  <si>
    <t>275</t>
  </si>
  <si>
    <t>GOLDEN FLAX SEEDS</t>
  </si>
  <si>
    <t>277</t>
  </si>
  <si>
    <t>BROWN FLAX SEEDS</t>
  </si>
  <si>
    <t>EPSOM SALTS</t>
  </si>
  <si>
    <t>287</t>
  </si>
  <si>
    <t>SPELT FLOUR ORGANIC</t>
  </si>
  <si>
    <t>RICE FLOUR BROWN MWWI</t>
  </si>
  <si>
    <t>292</t>
  </si>
  <si>
    <t>TEXTURED VEG PROTEIN</t>
  </si>
  <si>
    <t>DARK BROWN SUGAR</t>
  </si>
  <si>
    <t>303</t>
  </si>
  <si>
    <t>GOLDEN YELLOW SUGAR</t>
  </si>
  <si>
    <t>304</t>
  </si>
  <si>
    <t>ICING SUGAR</t>
  </si>
  <si>
    <t>WHITE FINE SUGAR</t>
  </si>
  <si>
    <t>307</t>
  </si>
  <si>
    <t>HARD WHOLE WHEAT FLOUR</t>
  </si>
  <si>
    <t>ORGANIC CANE SUGAR</t>
  </si>
  <si>
    <t>309</t>
  </si>
  <si>
    <t>RYE FLOUR DARK - STONE GRD</t>
  </si>
  <si>
    <t>310</t>
  </si>
  <si>
    <t>ALL PURPOSE FIVE ROSE FLOUR</t>
  </si>
  <si>
    <t>311</t>
  </si>
  <si>
    <t>CAKE &amp; PASTRY FLOUR</t>
  </si>
  <si>
    <t>312</t>
  </si>
  <si>
    <t>COOKIE DOUGH MIX</t>
  </si>
  <si>
    <t>313</t>
  </si>
  <si>
    <t>INSTANT PANCAKE MIX</t>
  </si>
  <si>
    <t>319</t>
  </si>
  <si>
    <t>TEA BISCUIT MIX</t>
  </si>
  <si>
    <t>323</t>
  </si>
  <si>
    <t>WHITE CAKE MIX</t>
  </si>
  <si>
    <t>325</t>
  </si>
  <si>
    <t>OATMEAL COOKIE MIX</t>
  </si>
  <si>
    <t>GRAHAM CRACK CRUMBS</t>
  </si>
  <si>
    <t>330</t>
  </si>
  <si>
    <t>OAT FLOUR</t>
  </si>
  <si>
    <t>331</t>
  </si>
  <si>
    <t>UNBLEACHED - HARD FLOUR</t>
  </si>
  <si>
    <t>334</t>
  </si>
  <si>
    <t>BARLEY STONE GROUND</t>
  </si>
  <si>
    <t>337</t>
  </si>
  <si>
    <t>12 GRAIN FLOUR</t>
  </si>
  <si>
    <t>339</t>
  </si>
  <si>
    <t>TAPIOCA FLOUR MWWI</t>
  </si>
  <si>
    <t>341</t>
  </si>
  <si>
    <t>CHICK PEA FLOUR</t>
  </si>
  <si>
    <t>342</t>
  </si>
  <si>
    <t>GLUTEN FLOUR</t>
  </si>
  <si>
    <t>ORGANIC COCONUT FLOUR MWWI</t>
  </si>
  <si>
    <t>346</t>
  </si>
  <si>
    <t>WHITE FLOUR MIX (BREAD MACH)</t>
  </si>
  <si>
    <t>366</t>
  </si>
  <si>
    <t>SMOKEY BACON BITS</t>
  </si>
  <si>
    <t>400</t>
  </si>
  <si>
    <t>POT BARLEY</t>
  </si>
  <si>
    <t>404</t>
  </si>
  <si>
    <t>YELLOW EYE BEANS</t>
  </si>
  <si>
    <t>407</t>
  </si>
  <si>
    <t>RED KIDNEY BEANS DARK</t>
  </si>
  <si>
    <t>408</t>
  </si>
  <si>
    <t>ROMANO BEANS</t>
  </si>
  <si>
    <t>415</t>
  </si>
  <si>
    <t>BLACK-EYED PEAS-COW PEAS</t>
  </si>
  <si>
    <t>416</t>
  </si>
  <si>
    <t>GREEN LENTILS</t>
  </si>
  <si>
    <t>419</t>
  </si>
  <si>
    <t>SOYA BEANS</t>
  </si>
  <si>
    <t>450</t>
  </si>
  <si>
    <t>SOUP MIX</t>
  </si>
  <si>
    <t>TROPICAL SKITTLES</t>
  </si>
  <si>
    <t>FRUIT JUICE BERRIES</t>
  </si>
  <si>
    <t>SOUR FRUIT JUICE BERRIES</t>
  </si>
  <si>
    <t>JUICY BLUE SHARK GUMMIES</t>
  </si>
  <si>
    <t>TOOTSIE MINI ROLL</t>
  </si>
  <si>
    <t>516</t>
  </si>
  <si>
    <t>NEILSONS DARK ROSEBUDS</t>
  </si>
  <si>
    <t>524</t>
  </si>
  <si>
    <t>FINNISH BERRIES</t>
  </si>
  <si>
    <t>BROKEN NUT ROLL O'HENRY</t>
  </si>
  <si>
    <t>531</t>
  </si>
  <si>
    <t>JOLLY RANCHER - ASSTD. FLAVORS</t>
  </si>
  <si>
    <t>533</t>
  </si>
  <si>
    <t>YOGURT RAISINS</t>
  </si>
  <si>
    <t>PANDA LICORICE</t>
  </si>
  <si>
    <t>MACAROONS</t>
  </si>
  <si>
    <t>ROSEBUDS</t>
  </si>
  <si>
    <t>DARE SUPER SOFT JU JUBES</t>
  </si>
  <si>
    <t>JUICY FROG GUMMIES</t>
  </si>
  <si>
    <t>560</t>
  </si>
  <si>
    <t>SOUR JU JUBES (ALLAN)</t>
  </si>
  <si>
    <t>50% DK CHOC. COV. COFFEE BEANS</t>
  </si>
  <si>
    <t>572</t>
  </si>
  <si>
    <t>MILK&amp;DARK CHOC.RASPBERRY CREME</t>
  </si>
  <si>
    <t>590</t>
  </si>
  <si>
    <t>M&amp;M PEANUT CHOC. CANDIES</t>
  </si>
  <si>
    <t>592</t>
  </si>
  <si>
    <t>SOUR GUMMI WORMS</t>
  </si>
  <si>
    <t>597</t>
  </si>
  <si>
    <t>PEANUT BUTTER CUPS</t>
  </si>
  <si>
    <t>SOUR CHERRY SLICES</t>
  </si>
  <si>
    <t>610</t>
  </si>
  <si>
    <t>MILK CHOCOLATE ALMONDS</t>
  </si>
  <si>
    <t>MILK CHOCOLATE PEANUTS</t>
  </si>
  <si>
    <t>GUM DROPS</t>
  </si>
  <si>
    <t>JU JUBES (ALLAN)</t>
  </si>
  <si>
    <t>M&amp;M PLAIN CHOC CANDIES</t>
  </si>
  <si>
    <t>622</t>
  </si>
  <si>
    <t>LICORICE BABIES</t>
  </si>
  <si>
    <t>626</t>
  </si>
  <si>
    <t>REESE'S PIECES</t>
  </si>
  <si>
    <t>SMARTIES</t>
  </si>
  <si>
    <t>629</t>
  </si>
  <si>
    <t>LICORICE ALLSORTS</t>
  </si>
  <si>
    <t>631</t>
  </si>
  <si>
    <t>JUICY FRUIT COCKTAIL GUMMIES</t>
  </si>
  <si>
    <t>633</t>
  </si>
  <si>
    <t>SOUR KEYS</t>
  </si>
  <si>
    <t>634</t>
  </si>
  <si>
    <t>43% DARK CHOCOLATE RAISINS</t>
  </si>
  <si>
    <t>HERSHEY KISSES</t>
  </si>
  <si>
    <t>642</t>
  </si>
  <si>
    <t>PEACH SLICES</t>
  </si>
  <si>
    <t>ROCKETS</t>
  </si>
  <si>
    <t>73% DARK CHOCOLATE ALMONDS</t>
  </si>
  <si>
    <t>MINI SOUR BLUE RASPBERRIES</t>
  </si>
  <si>
    <t>658</t>
  </si>
  <si>
    <t>BUTTERSCOTCH COLOMBINA</t>
  </si>
  <si>
    <t>663</t>
  </si>
  <si>
    <t>MILK CHOCOLATE RAISINS</t>
  </si>
  <si>
    <t>WINE GUMS</t>
  </si>
  <si>
    <t>678</t>
  </si>
  <si>
    <t>HOT LIPS</t>
  </si>
  <si>
    <t>M&amp;M's PEANUT BUTTER CANDIES</t>
  </si>
  <si>
    <t>JUICY DBL CHERRY GUMMIES</t>
  </si>
  <si>
    <t>AUSSIE SOFT SYLE LIC.RED</t>
  </si>
  <si>
    <t>AUSSIE SOFT SYLE LIC.BLACK</t>
  </si>
  <si>
    <t>TROPICAL JELLY DOTS</t>
  </si>
  <si>
    <t>JUICY COLA BOTTLE GUMMIES</t>
  </si>
  <si>
    <t>SOUR WATERMELON SLICES</t>
  </si>
  <si>
    <t>GUMMI SQUIRMIES</t>
  </si>
  <si>
    <t>752</t>
  </si>
  <si>
    <t>N.S.A. SIGNATURE ASST.</t>
  </si>
  <si>
    <t>SIGNATURE ORANGE</t>
  </si>
  <si>
    <t>771</t>
  </si>
  <si>
    <t>SIGNATURE SOUR LEMON</t>
  </si>
  <si>
    <t>779</t>
  </si>
  <si>
    <t>SOUR MINI PEACH RINGS</t>
  </si>
  <si>
    <t>792</t>
  </si>
  <si>
    <t>SIGNATURE BUTTERSCOTCH</t>
  </si>
  <si>
    <t>794</t>
  </si>
  <si>
    <t>SIGNATURE MINT</t>
  </si>
  <si>
    <t>797</t>
  </si>
  <si>
    <t>JUICY SOUR COLA BOTTLE GUMMIES</t>
  </si>
  <si>
    <t>HERB DE PROVENCE</t>
  </si>
  <si>
    <t>805</t>
  </si>
  <si>
    <t>MONTREAL STEAK SPICE</t>
  </si>
  <si>
    <t>841</t>
  </si>
  <si>
    <t>WHOLE ALLSPICE</t>
  </si>
  <si>
    <t>842</t>
  </si>
  <si>
    <t>GROUND ALLSPICE</t>
  </si>
  <si>
    <t>843</t>
  </si>
  <si>
    <t>WHOLE ANISE SEED</t>
  </si>
  <si>
    <t>845</t>
  </si>
  <si>
    <t>ALUM POWDER</t>
  </si>
  <si>
    <t>850</t>
  </si>
  <si>
    <t>CARAWAY SEED WHOLE</t>
  </si>
  <si>
    <t>851</t>
  </si>
  <si>
    <t>CAYENNE PEPPER</t>
  </si>
  <si>
    <t>855</t>
  </si>
  <si>
    <t>CRUSHED CHILLIES</t>
  </si>
  <si>
    <t>857</t>
  </si>
  <si>
    <t>CHIVES</t>
  </si>
  <si>
    <t>858</t>
  </si>
  <si>
    <t>6" CINNAMON STICKS</t>
  </si>
  <si>
    <t>860</t>
  </si>
  <si>
    <t>CLOVES WHOLE</t>
  </si>
  <si>
    <t>862</t>
  </si>
  <si>
    <t>CARDAMOM GROUND</t>
  </si>
  <si>
    <t>866</t>
  </si>
  <si>
    <t>FENNEL SEED WHOLE</t>
  </si>
  <si>
    <t>867</t>
  </si>
  <si>
    <t>GRANULATED GARLIC</t>
  </si>
  <si>
    <t>869</t>
  </si>
  <si>
    <t>GINGERBREAD FLAV.SPRINKLES</t>
  </si>
  <si>
    <t>GINGER GROUND</t>
  </si>
  <si>
    <t>873</t>
  </si>
  <si>
    <t>MACE GROUND</t>
  </si>
  <si>
    <t>874</t>
  </si>
  <si>
    <t>MARJORAM RUBBED</t>
  </si>
  <si>
    <t>877</t>
  </si>
  <si>
    <t>MINT FLAKES</t>
  </si>
  <si>
    <t>880</t>
  </si>
  <si>
    <t>MUSTARD POWDER</t>
  </si>
  <si>
    <t>882</t>
  </si>
  <si>
    <t>NUTMEG WHOLE</t>
  </si>
  <si>
    <t>883</t>
  </si>
  <si>
    <t>ONION MINCED</t>
  </si>
  <si>
    <t>884</t>
  </si>
  <si>
    <t>PAPRIKA</t>
  </si>
  <si>
    <t>885</t>
  </si>
  <si>
    <t>PARSLEY FLAKES</t>
  </si>
  <si>
    <t>886</t>
  </si>
  <si>
    <t>PEPPER WHOLE WHITE</t>
  </si>
  <si>
    <t>887</t>
  </si>
  <si>
    <t>GROUND WHITE PEPPER</t>
  </si>
  <si>
    <t>890</t>
  </si>
  <si>
    <t>ULTIMATE SEASONING</t>
  </si>
  <si>
    <t>892</t>
  </si>
  <si>
    <t>ROSEMARY RUBBED</t>
  </si>
  <si>
    <t>893</t>
  </si>
  <si>
    <t>SAGE RUBBED</t>
  </si>
  <si>
    <t>899</t>
  </si>
  <si>
    <t>GARLIC SALT</t>
  </si>
  <si>
    <t>900</t>
  </si>
  <si>
    <t>GROUND BLACK PEPPER</t>
  </si>
  <si>
    <t>901</t>
  </si>
  <si>
    <t>WHOLE BLACK PEPPER</t>
  </si>
  <si>
    <t>902</t>
  </si>
  <si>
    <t>ONION POWDER</t>
  </si>
  <si>
    <t>CURRY POWDER</t>
  </si>
  <si>
    <t>908</t>
  </si>
  <si>
    <t>GARLIC POWDER</t>
  </si>
  <si>
    <t>CHILI POWDER</t>
  </si>
  <si>
    <t>911</t>
  </si>
  <si>
    <t>CELERY SALT</t>
  </si>
  <si>
    <t>912</t>
  </si>
  <si>
    <t>NUTMEG GROUND</t>
  </si>
  <si>
    <t>913</t>
  </si>
  <si>
    <t>CINNAMON GROUND</t>
  </si>
  <si>
    <t>915</t>
  </si>
  <si>
    <t>SLICED ONION FLAKES</t>
  </si>
  <si>
    <t>BLACK LEMON PEPPER</t>
  </si>
  <si>
    <t>918</t>
  </si>
  <si>
    <t>COARSE PEPPER BLACK</t>
  </si>
  <si>
    <t>919</t>
  </si>
  <si>
    <t>12" CINNAMON STICKS</t>
  </si>
  <si>
    <t>920</t>
  </si>
  <si>
    <t>GARAM MASALA</t>
  </si>
  <si>
    <t>924</t>
  </si>
  <si>
    <t>GRATED LEMON PEEL</t>
  </si>
  <si>
    <t>929</t>
  </si>
  <si>
    <t>COARSE WHITE SUGAR</t>
  </si>
  <si>
    <t>930</t>
  </si>
  <si>
    <t>PINK SUGAR</t>
  </si>
  <si>
    <t>931</t>
  </si>
  <si>
    <t>BLUE SUGAR</t>
  </si>
  <si>
    <t>933</t>
  </si>
  <si>
    <t>PURPLE SUGAR</t>
  </si>
  <si>
    <t>934</t>
  </si>
  <si>
    <t>YELLOW SUGAR</t>
  </si>
  <si>
    <t>938</t>
  </si>
  <si>
    <t>BBQ SEASONING</t>
  </si>
  <si>
    <t>939</t>
  </si>
  <si>
    <t>FLAKED NUTRITIONAL YEAST</t>
  </si>
  <si>
    <t>940</t>
  </si>
  <si>
    <t>FLEISCHMANN'S ACTIVE DRY YEAST</t>
  </si>
  <si>
    <t>941</t>
  </si>
  <si>
    <t>BREWERS YEAST DEBITTERED</t>
  </si>
  <si>
    <t>942</t>
  </si>
  <si>
    <t>DILL WEED</t>
  </si>
  <si>
    <t>943</t>
  </si>
  <si>
    <t>LECITHIN GRANULES</t>
  </si>
  <si>
    <t>950</t>
  </si>
  <si>
    <t>BRIGHT SEQUINS</t>
  </si>
  <si>
    <t>958</t>
  </si>
  <si>
    <t>STAR QUINS</t>
  </si>
  <si>
    <t>962</t>
  </si>
  <si>
    <t>VANILLA SUGAR</t>
  </si>
  <si>
    <t>963</t>
  </si>
  <si>
    <t>RED SUGAR</t>
  </si>
  <si>
    <t>964</t>
  </si>
  <si>
    <t>COLOURED SUGAR</t>
  </si>
  <si>
    <t>966</t>
  </si>
  <si>
    <t>YELLOW SPRINKLES</t>
  </si>
  <si>
    <t>967</t>
  </si>
  <si>
    <t>RED SPRINKLES</t>
  </si>
  <si>
    <t>968</t>
  </si>
  <si>
    <t>BLUE SPRINKLES</t>
  </si>
  <si>
    <t>969</t>
  </si>
  <si>
    <t>ALL SPRINKLES</t>
  </si>
  <si>
    <t>970</t>
  </si>
  <si>
    <t>PINK SPRINKLES</t>
  </si>
  <si>
    <t>971</t>
  </si>
  <si>
    <t>GREEN SPRINKLES</t>
  </si>
  <si>
    <t>972</t>
  </si>
  <si>
    <t>ORANGE SPRINKLES</t>
  </si>
  <si>
    <t>973</t>
  </si>
  <si>
    <t>PURPLE SPRINKLES</t>
  </si>
  <si>
    <t>974</t>
  </si>
  <si>
    <t>MIXED NON PAREILS/RND SPRINKLE</t>
  </si>
  <si>
    <t>977</t>
  </si>
  <si>
    <t>CHOCOLATE TEENY'S COMPD.ASS'T</t>
  </si>
  <si>
    <t>980</t>
  </si>
  <si>
    <t>SWEET BASIL RUBBED</t>
  </si>
  <si>
    <t>981</t>
  </si>
  <si>
    <t>GROUND CUMIN SEED</t>
  </si>
  <si>
    <t>982</t>
  </si>
  <si>
    <t>GROUND CORIANDER SEED</t>
  </si>
  <si>
    <t>983</t>
  </si>
  <si>
    <t>MONTREAL CHICKEN SPICE</t>
  </si>
  <si>
    <t>SMOOTH NAT. PEANUT BUTTER</t>
  </si>
  <si>
    <t>CRUNCHY NAT PEANUT BUTTER</t>
  </si>
  <si>
    <t>SMOOTH REG PEANUT BUTTER</t>
  </si>
  <si>
    <t>MOLASSES BLACK STRAP</t>
  </si>
  <si>
    <t>CORN SYRUP</t>
  </si>
  <si>
    <t>ORGANIC NAT.SMOOTH PEANT BUTTR</t>
  </si>
  <si>
    <t>TAHINI SESAME SEED BUTTER</t>
  </si>
  <si>
    <t>1049</t>
  </si>
  <si>
    <t>HIGH RATIO SHORTENING</t>
  </si>
  <si>
    <t>WHITE BUTTERCRM ICING</t>
  </si>
  <si>
    <t>FANCY TABLE MOLASSES</t>
  </si>
  <si>
    <t>1132</t>
  </si>
  <si>
    <t>BUDGIE MIX</t>
  </si>
  <si>
    <t>ALL NAT LIVER MINI DOG BISCUIT</t>
  </si>
  <si>
    <t>1151</t>
  </si>
  <si>
    <t>BEEF JERKY STRIP</t>
  </si>
  <si>
    <t>1160</t>
  </si>
  <si>
    <t>MARROWBONE DOG TREATS</t>
  </si>
  <si>
    <t>SM ASST DOG BISCUITS MILK BONE</t>
  </si>
  <si>
    <t>1202</t>
  </si>
  <si>
    <t>FRENCH ROAST</t>
  </si>
  <si>
    <t>1203</t>
  </si>
  <si>
    <t>COLOMBIAN SUPREMO</t>
  </si>
  <si>
    <t>1204</t>
  </si>
  <si>
    <t>MOCHA JAVA</t>
  </si>
  <si>
    <t>1205</t>
  </si>
  <si>
    <t>ESPRESSO RISERVA</t>
  </si>
  <si>
    <t>IRISH CREAM</t>
  </si>
  <si>
    <t>1213</t>
  </si>
  <si>
    <t>DECAF GREEN TEABAGS</t>
  </si>
  <si>
    <t>1218</t>
  </si>
  <si>
    <t>GREEN TEABAGS</t>
  </si>
  <si>
    <t>1219</t>
  </si>
  <si>
    <t>CHAMOMILE HERBALTEABAGS</t>
  </si>
  <si>
    <t>1222</t>
  </si>
  <si>
    <t>SUMATRA DARK COFFEE</t>
  </si>
  <si>
    <t>1225</t>
  </si>
  <si>
    <t>INSTANT SKIM MILK POWDER</t>
  </si>
  <si>
    <t>1226</t>
  </si>
  <si>
    <t>COFFEE WHITENER</t>
  </si>
  <si>
    <t>BREAKFAST BLEND</t>
  </si>
  <si>
    <t>1234</t>
  </si>
  <si>
    <t>APPLE CINN GRN TEA BAGS</t>
  </si>
  <si>
    <t>DECAF VANILLA HAZELNUT CREME</t>
  </si>
  <si>
    <t>1254</t>
  </si>
  <si>
    <t>DECAF MTN.WATER PROCESS COFFEE</t>
  </si>
  <si>
    <t>EARL GREY TEABAGS</t>
  </si>
  <si>
    <t>1260</t>
  </si>
  <si>
    <t>RAINFOREST ORGANIC COFFEE BLND</t>
  </si>
  <si>
    <t>1270</t>
  </si>
  <si>
    <t>PEPPERMINT HERBAL TEABAGS</t>
  </si>
  <si>
    <t>1273</t>
  </si>
  <si>
    <t>FAIR TRADE CHIN.GRN TEA LOOSE</t>
  </si>
  <si>
    <t>1274</t>
  </si>
  <si>
    <t>VANILLA ROOIBOS TEA LOOSE</t>
  </si>
  <si>
    <t>1276</t>
  </si>
  <si>
    <t>ASSAM TEA LOOSE</t>
  </si>
  <si>
    <t>1277</t>
  </si>
  <si>
    <t>POM LAVENDER GREEN TEA LOOSE</t>
  </si>
  <si>
    <t>1278</t>
  </si>
  <si>
    <t>CHAI BLACK TEA LOOSE</t>
  </si>
  <si>
    <t>1282</t>
  </si>
  <si>
    <t>HIBISCUS ROSEHIP TEA LOOSE</t>
  </si>
  <si>
    <t>1284</t>
  </si>
  <si>
    <t>POM ROSEHIP TEA LOOSE</t>
  </si>
  <si>
    <t>1285</t>
  </si>
  <si>
    <t>BLACK CURRANT BLACK TEA LOOSE</t>
  </si>
  <si>
    <t>MINI CHOCOLATE CHIPS</t>
  </si>
  <si>
    <t>1320</t>
  </si>
  <si>
    <t>CHOCOLATE SHORTBREAD</t>
  </si>
  <si>
    <t>1325</t>
  </si>
  <si>
    <t>GRAHAM WAFER</t>
  </si>
  <si>
    <t>1327</t>
  </si>
  <si>
    <t>MAPLE LEAF CREME COOKIES</t>
  </si>
  <si>
    <t>HONEY GRAHAM CUB COOKIES</t>
  </si>
  <si>
    <t>1504</t>
  </si>
  <si>
    <t>FRUIT FANTASY DRINK CRYSTALS</t>
  </si>
  <si>
    <t>1508</t>
  </si>
  <si>
    <t>COCOA POWDER 10/12</t>
  </si>
  <si>
    <t>1517</t>
  </si>
  <si>
    <t>ISRAELI COUSCOUS</t>
  </si>
  <si>
    <t>1518</t>
  </si>
  <si>
    <t>WHOLE WHEAT COUSCOUS</t>
  </si>
  <si>
    <t>COCOA POWDER SUPERIOR RED</t>
  </si>
  <si>
    <t>1524</t>
  </si>
  <si>
    <t>HEAVENLY WHITE HOT CHOCOLATE</t>
  </si>
  <si>
    <t>1526</t>
  </si>
  <si>
    <t>STEEL CUT OATS GROATS</t>
  </si>
  <si>
    <t>1527</t>
  </si>
  <si>
    <t>KASHA BUCKWHEAT TOASTED</t>
  </si>
  <si>
    <t>1530</t>
  </si>
  <si>
    <t>12 GRAIN CEREAL</t>
  </si>
  <si>
    <t>1533</t>
  </si>
  <si>
    <t>CREAMY WHEATLETS</t>
  </si>
  <si>
    <t>1535</t>
  </si>
  <si>
    <t>ROLLED OATS LRG FLAKES</t>
  </si>
  <si>
    <t>QUICK ROLLED OATS</t>
  </si>
  <si>
    <t>1538</t>
  </si>
  <si>
    <t>WHITE BRAN SOFT WHEAT</t>
  </si>
  <si>
    <t>COUSCOUS</t>
  </si>
  <si>
    <t>1543</t>
  </si>
  <si>
    <t>BULGUR WHEAT MEDIUM</t>
  </si>
  <si>
    <t>1544</t>
  </si>
  <si>
    <t>HARD WHEAT KERNELS(BERRIES)</t>
  </si>
  <si>
    <t>1546</t>
  </si>
  <si>
    <t>ORGANIC QUINOA</t>
  </si>
  <si>
    <t>1551</t>
  </si>
  <si>
    <t>QUEST CRUNCH GRANOLA</t>
  </si>
  <si>
    <t>HONEY&amp; ALMOND GRANOLA</t>
  </si>
  <si>
    <t>1560</t>
  </si>
  <si>
    <t>HONEY NUT CHEERIOS</t>
  </si>
  <si>
    <t>1562</t>
  </si>
  <si>
    <t>CHIA SEEDS</t>
  </si>
  <si>
    <t>1563</t>
  </si>
  <si>
    <t>GREAT GRAN.BREAKFAST CER.LOWFT</t>
  </si>
  <si>
    <t>1567</t>
  </si>
  <si>
    <t>BRAN FLAKES</t>
  </si>
  <si>
    <t>1568</t>
  </si>
  <si>
    <t>100% BRAN CEREAL</t>
  </si>
  <si>
    <t>1569</t>
  </si>
  <si>
    <t>HEMP GRANOLA</t>
  </si>
  <si>
    <t>CHUNKY SUPREME GRANOLA</t>
  </si>
  <si>
    <t>1600</t>
  </si>
  <si>
    <t>WHITE LONG GRAIN RICE</t>
  </si>
  <si>
    <t>1601</t>
  </si>
  <si>
    <t>WHITE SHORT RICE(SUSHI)</t>
  </si>
  <si>
    <t>1604</t>
  </si>
  <si>
    <t>PARBOILED RICE</t>
  </si>
  <si>
    <t>1608</t>
  </si>
  <si>
    <t>WHITE BASMATI RICE</t>
  </si>
  <si>
    <t>1610</t>
  </si>
  <si>
    <t>JASMINE SCENTED RICE</t>
  </si>
  <si>
    <t>1615</t>
  </si>
  <si>
    <t>PARBOILED WILD RICE MIX</t>
  </si>
  <si>
    <t>1632</t>
  </si>
  <si>
    <t>CHOW MEIN NOODLE</t>
  </si>
  <si>
    <t>BRWN RICE SPIRALS(FUSILLI)MWWI</t>
  </si>
  <si>
    <t>1700</t>
  </si>
  <si>
    <t>SULTANA RAISINS</t>
  </si>
  <si>
    <t>GOLDEN RAISINS</t>
  </si>
  <si>
    <t>THOMPSON RAISINS</t>
  </si>
  <si>
    <t>1704</t>
  </si>
  <si>
    <t>JUMBO FLAME RAISINS</t>
  </si>
  <si>
    <t>1706</t>
  </si>
  <si>
    <t>PRUNES LARGE PITS REMVD</t>
  </si>
  <si>
    <t>DATES LOOSE PACK PITS REMVD</t>
  </si>
  <si>
    <t>1720</t>
  </si>
  <si>
    <t>TURKISH APRICOTS</t>
  </si>
  <si>
    <t>1724</t>
  </si>
  <si>
    <t>DRIED CRANBERRIES</t>
  </si>
  <si>
    <t>1727</t>
  </si>
  <si>
    <t>APPLE RINGS</t>
  </si>
  <si>
    <t>1729</t>
  </si>
  <si>
    <t>MANGO SLICES DRIED</t>
  </si>
  <si>
    <t>1733</t>
  </si>
  <si>
    <t>FRUIT MIX REGULAR</t>
  </si>
  <si>
    <t>1737</t>
  </si>
  <si>
    <t>DRIED STRAWBERRIES</t>
  </si>
  <si>
    <t>1740</t>
  </si>
  <si>
    <t>MIXED PEEL (OR/LEM/CIT)</t>
  </si>
  <si>
    <t>1751</t>
  </si>
  <si>
    <t>CHERRIES WHOLE /BR.RED</t>
  </si>
  <si>
    <t>1752</t>
  </si>
  <si>
    <t>CHERRIES WHOLE/BR.GREEN</t>
  </si>
  <si>
    <t>1753</t>
  </si>
  <si>
    <t>COCONUT UNSWT MEDIUM</t>
  </si>
  <si>
    <t>1755</t>
  </si>
  <si>
    <t>COCONUT UNSWEET SHREDDED</t>
  </si>
  <si>
    <t>1756</t>
  </si>
  <si>
    <t>GOJI BERRIES</t>
  </si>
  <si>
    <t>1758</t>
  </si>
  <si>
    <t>COCONUT SWEET FLAKE</t>
  </si>
  <si>
    <t>COCONUT SWEET SHREDDED</t>
  </si>
  <si>
    <t>CHOCOLATE CHIPS SEMI SWEET</t>
  </si>
  <si>
    <t>1762</t>
  </si>
  <si>
    <t>BUTTERSCOTCH CHIPS</t>
  </si>
  <si>
    <t>1765</t>
  </si>
  <si>
    <t>CHOCOLATE SQUARES UNSWEETENED</t>
  </si>
  <si>
    <t>1766</t>
  </si>
  <si>
    <t>JUMBO CHOC CHIPS SEMI SWEET</t>
  </si>
  <si>
    <t>WALNUT HALVES</t>
  </si>
  <si>
    <t>1773</t>
  </si>
  <si>
    <t>WALNUT PIECES</t>
  </si>
  <si>
    <t>1775</t>
  </si>
  <si>
    <t>HAZELNUTS WHOLE NAT.(FILBERTS)</t>
  </si>
  <si>
    <t>PECAN HALVES</t>
  </si>
  <si>
    <t>1780</t>
  </si>
  <si>
    <t>PECAN PIECES MEDIUM</t>
  </si>
  <si>
    <t>PISTACHIO RAW SHELLED</t>
  </si>
  <si>
    <t>1786</t>
  </si>
  <si>
    <t>NATURAL ALMONDS</t>
  </si>
  <si>
    <t>SLIVERED ALMONDS BLANCH</t>
  </si>
  <si>
    <t>GROUND ALMONDS BLANCHED</t>
  </si>
  <si>
    <t>1800</t>
  </si>
  <si>
    <t>ALPINE MOLDING WAFERS</t>
  </si>
  <si>
    <t>1801</t>
  </si>
  <si>
    <t>ALPINE LIGHT MOLDING WAFERS</t>
  </si>
  <si>
    <t>1802</t>
  </si>
  <si>
    <t>BELGIAN DARK CHOC. WAFERS</t>
  </si>
  <si>
    <t>1803</t>
  </si>
  <si>
    <t>ALPINE WHITE MOLDING WAFERS</t>
  </si>
  <si>
    <t>BELCOLADE BTRSWEET CHOC.WAFERS</t>
  </si>
  <si>
    <t>1808</t>
  </si>
  <si>
    <t>COMPOUND MILK CHOC. WAFERS</t>
  </si>
  <si>
    <t>1812</t>
  </si>
  <si>
    <t>ALPINE BLUE MOLDING WAFERS</t>
  </si>
  <si>
    <t>1817</t>
  </si>
  <si>
    <t>ALPINE YELLOW MOLDING WAFERS</t>
  </si>
  <si>
    <t>1819</t>
  </si>
  <si>
    <t>ALPINE RED MOLDING WAFERS</t>
  </si>
  <si>
    <t>1820</t>
  </si>
  <si>
    <t>ALPINE COLOURED MOLDING WAFERS</t>
  </si>
  <si>
    <t>COCONUT ROLL DATES</t>
  </si>
  <si>
    <t>2197</t>
  </si>
  <si>
    <t>ORGANIC AMARANTH SEEDS</t>
  </si>
  <si>
    <t>ULTIMATE LEMON CREME COOKIES</t>
  </si>
  <si>
    <t>2240</t>
  </si>
  <si>
    <t>CHOCOLATE ENERGY LOOSE TEA</t>
  </si>
  <si>
    <t>2242</t>
  </si>
  <si>
    <t>GINGER TURMERIC GREEN TEA</t>
  </si>
  <si>
    <t>2243</t>
  </si>
  <si>
    <t>CRANBERRY HIBISCUS LOOSE TEA</t>
  </si>
  <si>
    <t>2256</t>
  </si>
  <si>
    <t>ORANGE PEKOE LOOSE LEAF TEA</t>
  </si>
  <si>
    <t>2298</t>
  </si>
  <si>
    <t>GRIND YOUR OWN PEANUT BUTTER</t>
  </si>
  <si>
    <t>2302</t>
  </si>
  <si>
    <t>PULLED PORK SEASONING</t>
  </si>
  <si>
    <t>PEEK FREANS ASSRT CREAM COOKIE</t>
  </si>
  <si>
    <t>2308</t>
  </si>
  <si>
    <t>SCOTCH OATS</t>
  </si>
  <si>
    <t>VIRGIN ORGANIC COCONUT OIL</t>
  </si>
  <si>
    <t>2350</t>
  </si>
  <si>
    <t>MINI ALLSORTS</t>
  </si>
  <si>
    <t>2352</t>
  </si>
  <si>
    <t>WARHEADS HARD CANDY</t>
  </si>
  <si>
    <t>XYLITOL</t>
  </si>
  <si>
    <t>2382</t>
  </si>
  <si>
    <t>COCONUT THAI SEASONING</t>
  </si>
  <si>
    <t>2390</t>
  </si>
  <si>
    <t>FUNSORTS RED</t>
  </si>
  <si>
    <t>2413</t>
  </si>
  <si>
    <t>THAI CURRY SEASONING</t>
  </si>
  <si>
    <t>2426</t>
  </si>
  <si>
    <t>HUNGARIAN PAPRIKA</t>
  </si>
  <si>
    <t>2440</t>
  </si>
  <si>
    <t>PIRI PIRI SEASONING</t>
  </si>
  <si>
    <t>2441</t>
  </si>
  <si>
    <t>GRIND YROWN HONEY RST PNUT BTR</t>
  </si>
  <si>
    <t>2442</t>
  </si>
  <si>
    <t>SALTED CARAMEL COFFEE</t>
  </si>
  <si>
    <t>2446</t>
  </si>
  <si>
    <t>POST SHREDDIES</t>
  </si>
  <si>
    <t>2461</t>
  </si>
  <si>
    <t>FAIR TRADE ORG WEST COAST DARK</t>
  </si>
  <si>
    <t>GREEK YOGURT RAISINS</t>
  </si>
  <si>
    <t>RAINFOREST FROG GUMMIES</t>
  </si>
  <si>
    <t>2473</t>
  </si>
  <si>
    <t>ORG.WHOLE WHEAT BREAD FLOUR</t>
  </si>
  <si>
    <t>BERRY SKITTLES</t>
  </si>
  <si>
    <t>2492</t>
  </si>
  <si>
    <t>OMG'S MILK CHOCOLATE</t>
  </si>
  <si>
    <t>2586</t>
  </si>
  <si>
    <t>SOUVLAKI MIX/MARINADE</t>
  </si>
  <si>
    <t>2611</t>
  </si>
  <si>
    <t>SLT &amp;VINEGAR POPCORN SEASONING</t>
  </si>
  <si>
    <t>2613</t>
  </si>
  <si>
    <t>KETCHUP POPCORN SEASONING</t>
  </si>
  <si>
    <t>2618</t>
  </si>
  <si>
    <t>LICORICE FUNSORTS BLACK</t>
  </si>
  <si>
    <t>2636</t>
  </si>
  <si>
    <t>BUTTER CHICKEN SEASONING</t>
  </si>
  <si>
    <t>2663</t>
  </si>
  <si>
    <t>MAKIN' ME CRAZY COFFEE</t>
  </si>
  <si>
    <t>2673</t>
  </si>
  <si>
    <t>MULTIGRAIN BREAD MIX MWWI</t>
  </si>
  <si>
    <t>2681</t>
  </si>
  <si>
    <t>COOKIES N' CREME MINI BARS</t>
  </si>
  <si>
    <t>2683</t>
  </si>
  <si>
    <t>HEMP PROTEIN POWDER 50%</t>
  </si>
  <si>
    <t>ORGANIC PUMPKIN SEED BUTTER</t>
  </si>
  <si>
    <t>2716</t>
  </si>
  <si>
    <t>GRAIN FREE PUMPKIN LRG DOG BIS</t>
  </si>
  <si>
    <t>2722</t>
  </si>
  <si>
    <t>BELGIAN MILK CH SEA SALT BITES</t>
  </si>
  <si>
    <t>APPLE SPICE WALNUTS</t>
  </si>
  <si>
    <t>2730</t>
  </si>
  <si>
    <t>ORG. SPROUTED SPELT FLOUR</t>
  </si>
  <si>
    <t>2738</t>
  </si>
  <si>
    <t>ORGANIC KALE POWDER</t>
  </si>
  <si>
    <t>2742</t>
  </si>
  <si>
    <t>JALAPENO CHEDDAR CRUNCHIES</t>
  </si>
  <si>
    <t>2743</t>
  </si>
  <si>
    <t>MILLET FLOUR MWWI</t>
  </si>
  <si>
    <t>2747</t>
  </si>
  <si>
    <t>#NOMNOMNOM</t>
  </si>
  <si>
    <t>TRIPLE PLAY MIX</t>
  </si>
  <si>
    <t>BELCOLADE WHITE CHOCO WAFERS</t>
  </si>
  <si>
    <t>BELGIAN MILK CHOC. MACAROONS</t>
  </si>
  <si>
    <t>2775</t>
  </si>
  <si>
    <t>ANIMAL CRACKERS</t>
  </si>
  <si>
    <t>2783</t>
  </si>
  <si>
    <t>COCONUT VANILLA CARAMELS</t>
  </si>
  <si>
    <t>2787</t>
  </si>
  <si>
    <t>PEANUT BUTTER CUP POPCORN</t>
  </si>
  <si>
    <t>2797</t>
  </si>
  <si>
    <t>ORG. MATCHA GREEN TEA POWDER</t>
  </si>
  <si>
    <t>2813</t>
  </si>
  <si>
    <t>OMG'S VANILLA ALMOND</t>
  </si>
  <si>
    <t>NATURAL BRAZIL NUT PIECES</t>
  </si>
  <si>
    <t>PEEK FREANS DIGESTIVE COOKIES</t>
  </si>
  <si>
    <t>MY TEM SW &amp; TRT W/PNCH OF SVRY</t>
  </si>
  <si>
    <t>COCONUT UNSWT (SO2 FREE)</t>
  </si>
  <si>
    <t>2854</t>
  </si>
  <si>
    <t>MINI LASAGNA</t>
  </si>
  <si>
    <t>2874</t>
  </si>
  <si>
    <t>ISLAND RESERVE BLEND COFFEE</t>
  </si>
  <si>
    <t>1-TO-1 BAKING FLOUR MWWI</t>
  </si>
  <si>
    <t>CHEDDAR &amp; ALE PRTZEL NUGGETS</t>
  </si>
  <si>
    <t>2882</t>
  </si>
  <si>
    <t>SNICKERS BITES</t>
  </si>
  <si>
    <t>2888</t>
  </si>
  <si>
    <t>MULTI GRAIN CHEERIOS</t>
  </si>
  <si>
    <t>TWIX BITES</t>
  </si>
  <si>
    <t>2891</t>
  </si>
  <si>
    <t>DRIED BLACK CURRANTS</t>
  </si>
  <si>
    <t>2900</t>
  </si>
  <si>
    <t>WHITE WHOLE WHEAT FLOUR UNBL.</t>
  </si>
  <si>
    <t>2916</t>
  </si>
  <si>
    <t>VEGETABLE PASTA HOCKEY SHAPES</t>
  </si>
  <si>
    <t>2919</t>
  </si>
  <si>
    <t>VEG PASTA CANADIAN, EH? SHAPES</t>
  </si>
  <si>
    <t>2930</t>
  </si>
  <si>
    <t>DRY RST CHICK PEAS SR CRM &amp; ON</t>
  </si>
  <si>
    <t>2936</t>
  </si>
  <si>
    <t>BERRY KIWI COLADA LOOSE TEA</t>
  </si>
  <si>
    <t>2937</t>
  </si>
  <si>
    <t>PNK LEMONADE ROOIBOS LOOSE TEA</t>
  </si>
  <si>
    <t>2938</t>
  </si>
  <si>
    <t>STRAWBRY CREAM WHITE TEA LOOSE</t>
  </si>
  <si>
    <t>2939</t>
  </si>
  <si>
    <t>CITRUS COCONUT WHITE TEA LOOSE</t>
  </si>
  <si>
    <t>2944</t>
  </si>
  <si>
    <t>PEA PROTEIN PWDR 85% EMPROE86</t>
  </si>
  <si>
    <t>2948</t>
  </si>
  <si>
    <t>VAN. WHEY PROTEIN ISOLATE 90%</t>
  </si>
  <si>
    <t>2949</t>
  </si>
  <si>
    <t>ORGANIC COCONUT MILK POWDER</t>
  </si>
  <si>
    <t>2972</t>
  </si>
  <si>
    <t>SRIRACHA SEASONING</t>
  </si>
  <si>
    <t>2974</t>
  </si>
  <si>
    <t>JALAPENO LIME SEASONING</t>
  </si>
  <si>
    <t>MINI OATMEAL COOKIE W/MLK CHOC</t>
  </si>
  <si>
    <t>2983</t>
  </si>
  <si>
    <t>ORANGE CHEDDR POPCRN SEASONING</t>
  </si>
  <si>
    <t>2989</t>
  </si>
  <si>
    <t>VEGETARIAN SOUP BASE</t>
  </si>
  <si>
    <t>2992</t>
  </si>
  <si>
    <t>ORGANIC QUINOA ANELLI MWWI</t>
  </si>
  <si>
    <t>3041</t>
  </si>
  <si>
    <t>ORGANIC GUMMI WORMS</t>
  </si>
  <si>
    <t>OMG'S PEANUT BUTTER PRETZEL</t>
  </si>
  <si>
    <t>3062</t>
  </si>
  <si>
    <t>LAVENDER FLOWERS</t>
  </si>
  <si>
    <t>3063</t>
  </si>
  <si>
    <t>WALTER CAESAR RIM</t>
  </si>
  <si>
    <t>3082</t>
  </si>
  <si>
    <t>BLACK COCOA POWDER 10/12%</t>
  </si>
  <si>
    <t>3086</t>
  </si>
  <si>
    <t>EUCALYPTUS MINT LOOSE TEA</t>
  </si>
  <si>
    <t>3087</t>
  </si>
  <si>
    <t>LICORICE ZING LOOSE TEA</t>
  </si>
  <si>
    <t>3092</t>
  </si>
  <si>
    <t>WHT CHDR MAC&amp; CHEESE SAUCE MIX</t>
  </si>
  <si>
    <t>7650</t>
  </si>
  <si>
    <t>GOURMET JELLY BEANS</t>
  </si>
  <si>
    <t>7651</t>
  </si>
  <si>
    <t>T.B. LUXOR LICORICE</t>
  </si>
  <si>
    <t>7655</t>
  </si>
  <si>
    <t>T.B.STRAWBERRY CHEESECAKE</t>
  </si>
  <si>
    <t>7659</t>
  </si>
  <si>
    <t>T.B. WATERMELON</t>
  </si>
  <si>
    <t>7661</t>
  </si>
  <si>
    <t>T.B. GREEN APPLE</t>
  </si>
  <si>
    <t>7662</t>
  </si>
  <si>
    <t>T.B. BLUEBERRY COBBLER</t>
  </si>
  <si>
    <t>T.B. BANANA CREAM PIE</t>
  </si>
  <si>
    <t>7678</t>
  </si>
  <si>
    <t>GLITTER MINTS</t>
  </si>
  <si>
    <t>7679</t>
  </si>
  <si>
    <t>MENTHOL EUCALYPTUS</t>
  </si>
  <si>
    <t>7685</t>
  </si>
  <si>
    <t>SAYBON PICK 'N MIX</t>
  </si>
  <si>
    <t>7690</t>
  </si>
  <si>
    <t>RUM TOFFEE</t>
  </si>
  <si>
    <t>7692</t>
  </si>
  <si>
    <t>BRAZIL NUT TOFFEE</t>
  </si>
  <si>
    <t>DELUXE JU JUBES</t>
  </si>
  <si>
    <t>7699</t>
  </si>
  <si>
    <t>DELUXE JELLIES</t>
  </si>
  <si>
    <t>10655</t>
  </si>
  <si>
    <t>STICK CANDY BLUE RASPBERRY</t>
  </si>
  <si>
    <t>MARSH.SQUARE W/RICE CRISPS</t>
  </si>
  <si>
    <t>12536</t>
  </si>
  <si>
    <t>STICK CANDY LICORICE</t>
  </si>
  <si>
    <t>12547</t>
  </si>
  <si>
    <t>STICK CANDY TUTTI FRUITTY</t>
  </si>
  <si>
    <t>12555</t>
  </si>
  <si>
    <t>STICK CANDY WATERMELON</t>
  </si>
  <si>
    <t>12558</t>
  </si>
  <si>
    <t>STICK CANDY STRAWBERRY KIWI</t>
  </si>
  <si>
    <t>13746</t>
  </si>
  <si>
    <t>ROCK CANDY CHERRY</t>
  </si>
  <si>
    <t>Description</t>
  </si>
  <si>
    <t>CN</t>
  </si>
  <si>
    <t>CARMEL CORN</t>
  </si>
  <si>
    <t>PUMPKIN SDS HULLD RSTD UNSALTD</t>
  </si>
  <si>
    <t>BITS &amp; BITES CHEESE</t>
  </si>
  <si>
    <t>PRETZEL STICK SALTED</t>
  </si>
  <si>
    <t>MILK CHOC COVERED PRETZELS</t>
  </si>
  <si>
    <t>CRYSTALLIZED GINGER SLICES</t>
  </si>
  <si>
    <t>PEANUTS DRY ROASTED-SEASONED</t>
  </si>
  <si>
    <t>HONEY ROASTED PEANUTS</t>
  </si>
  <si>
    <t>UNSEASONED-PEANUTS DRY ROASTED</t>
  </si>
  <si>
    <t>RAW IN SHELL SUNFLOWER SEEDS</t>
  </si>
  <si>
    <t>SOURDOUGH FLOUR MIX(BREAD MCH)</t>
  </si>
  <si>
    <t>CORN STARCH MWWI</t>
  </si>
  <si>
    <t>GROUND FLAX SEED</t>
  </si>
  <si>
    <t>PSYLLIUM HUSK</t>
  </si>
  <si>
    <t>DEXTROSE CORN SUGAR</t>
  </si>
  <si>
    <t>INSTANT DISSOLVE SUGAR</t>
  </si>
  <si>
    <t>BUCKWHEAT -DARK FLOUR</t>
  </si>
  <si>
    <t>RED LENTILS HULLED</t>
  </si>
  <si>
    <t>DRIED MIXED VEG. FLAKES (22)</t>
  </si>
  <si>
    <t>MILK CHOCOLATE CARAMEL BALLS</t>
  </si>
  <si>
    <t>SOUR FRUIT SLICES</t>
  </si>
  <si>
    <t>SMALL GUMMIE BEARS</t>
  </si>
  <si>
    <t>ORANGE/LEMON SLICES</t>
  </si>
  <si>
    <t>YORK PEPPERMINT PATTIES</t>
  </si>
  <si>
    <t>GUM BALLS REGULAR</t>
  </si>
  <si>
    <t>CHOCOLATE BRIDGE MIX</t>
  </si>
  <si>
    <t>BIG FOOT</t>
  </si>
  <si>
    <t>JUICY WINE GUMMIES</t>
  </si>
  <si>
    <t>SOUR GRAPE SLICES</t>
  </si>
  <si>
    <t>SMOKED PAPRIKA</t>
  </si>
  <si>
    <t>THYME RUBBED</t>
  </si>
  <si>
    <t>PREMIUM WILD BIRD MIX</t>
  </si>
  <si>
    <t>ALL NAT CHED.CH. MINI DOG BISC</t>
  </si>
  <si>
    <t>FINCH MIX</t>
  </si>
  <si>
    <t>MED.ASST DOG BISCUIT MILK BONE</t>
  </si>
  <si>
    <t>LG GOLDN DOG BISCUIT MILK BONE</t>
  </si>
  <si>
    <t>REGULAR GRANOLA CEREAL</t>
  </si>
  <si>
    <t>BAKERS BRAN/ RED(HARD)</t>
  </si>
  <si>
    <t>BROWN LONG GRAIN RICE</t>
  </si>
  <si>
    <t>BROWN SHORT RICE</t>
  </si>
  <si>
    <t>TURKISH FIGS NATURAL</t>
  </si>
  <si>
    <t>SLICED ALMONDS BLANCHED</t>
  </si>
  <si>
    <t>CASHEW SPLITS FANCY RAW</t>
  </si>
  <si>
    <t>SHOULD BE A FOOD GROUP SNK MIX</t>
  </si>
  <si>
    <t>GRIND YOUR OWN ALMOND BUTTER</t>
  </si>
  <si>
    <t>PUMPKIN SEEDS, HULLED RAW</t>
  </si>
  <si>
    <t>GROUND HABANERO CHILI POWDER</t>
  </si>
  <si>
    <t>CORNNUTS RANCH</t>
  </si>
  <si>
    <t>GRAIN FREE HIP&amp;JOINT MINI DOG</t>
  </si>
  <si>
    <t>GOURMET CH COV BAN GUMMI BEAR</t>
  </si>
  <si>
    <t>WHITE CHOCOLATE ALMONDS</t>
  </si>
  <si>
    <t>PINK PEARLIZED GUMBALLS</t>
  </si>
  <si>
    <t>FRUITFETTI POPCORN</t>
  </si>
  <si>
    <t>T.B. CHESAPEAKE CHERRY</t>
  </si>
  <si>
    <t>T.B. SAVANNAH STRAWBERRY</t>
  </si>
  <si>
    <t>PEANUT BUTTER MEGA BONE</t>
  </si>
  <si>
    <t>TOOTSIE POPS BULK</t>
  </si>
  <si>
    <t>Product Name</t>
  </si>
  <si>
    <t>PLU</t>
  </si>
  <si>
    <t>24</t>
  </si>
  <si>
    <t>38</t>
  </si>
  <si>
    <t>52</t>
  </si>
  <si>
    <t>57</t>
  </si>
  <si>
    <t>62</t>
  </si>
  <si>
    <t>77</t>
  </si>
  <si>
    <t>108</t>
  </si>
  <si>
    <t>110</t>
  </si>
  <si>
    <t>117</t>
  </si>
  <si>
    <t>138</t>
  </si>
  <si>
    <t>240</t>
  </si>
  <si>
    <t>260</t>
  </si>
  <si>
    <t>280</t>
  </si>
  <si>
    <t>283</t>
  </si>
  <si>
    <t>298</t>
  </si>
  <si>
    <t>301</t>
  </si>
  <si>
    <t>321</t>
  </si>
  <si>
    <t>417</t>
  </si>
  <si>
    <t>418</t>
  </si>
  <si>
    <t>509</t>
  </si>
  <si>
    <t>539</t>
  </si>
  <si>
    <t>549</t>
  </si>
  <si>
    <t>583</t>
  </si>
  <si>
    <t>587</t>
  </si>
  <si>
    <t>589</t>
  </si>
  <si>
    <t>621</t>
  </si>
  <si>
    <t>677</t>
  </si>
  <si>
    <t>692</t>
  </si>
  <si>
    <t>704</t>
  </si>
  <si>
    <t>802</t>
  </si>
  <si>
    <t>978</t>
  </si>
  <si>
    <t>1128</t>
  </si>
  <si>
    <t>1137</t>
  </si>
  <si>
    <t>1141</t>
  </si>
  <si>
    <t>1175</t>
  </si>
  <si>
    <t>1176</t>
  </si>
  <si>
    <t>1553</t>
  </si>
  <si>
    <t>1576</t>
  </si>
  <si>
    <t>1602</t>
  </si>
  <si>
    <t>1603</t>
  </si>
  <si>
    <t>1717</t>
  </si>
  <si>
    <t>1789</t>
  </si>
  <si>
    <t>1799</t>
  </si>
  <si>
    <t>2287</t>
  </si>
  <si>
    <t>2297</t>
  </si>
  <si>
    <t>2409</t>
  </si>
  <si>
    <t>2422</t>
  </si>
  <si>
    <t>2633</t>
  </si>
  <si>
    <t>2819</t>
  </si>
  <si>
    <t>2892</t>
  </si>
  <si>
    <t>2909</t>
  </si>
  <si>
    <t>3017</t>
  </si>
  <si>
    <t>3072</t>
  </si>
  <si>
    <t>7652</t>
  </si>
  <si>
    <t>7660</t>
  </si>
  <si>
    <t>06486301091</t>
  </si>
  <si>
    <t>12521</t>
  </si>
  <si>
    <t>SESAME STICKS</t>
  </si>
  <si>
    <t>JUMBO POPPING CORN</t>
  </si>
  <si>
    <t>WASABI COATED GREEN PEAS</t>
  </si>
  <si>
    <t>JUMBO CASHEWS R&amp;S</t>
  </si>
  <si>
    <t>HICKORY SMOKED ALMONDS R&amp;S</t>
  </si>
  <si>
    <t>HONEY ROASTED CASHEWS</t>
  </si>
  <si>
    <t>ARROW ROOT FLOUR MWWI</t>
  </si>
  <si>
    <t>CORN BREAD MIX MWWI</t>
  </si>
  <si>
    <t>TOASTED LIGHT SESAME SEEDS</t>
  </si>
  <si>
    <t>TURBINADO BROWN SUGAR</t>
  </si>
  <si>
    <t>UNBLEACHED - SOFT FLOUR</t>
  </si>
  <si>
    <t>SOFT WHOLE WHEAT FLOUR</t>
  </si>
  <si>
    <t>WHOLE WHEAT BREAD MACH FLOUR</t>
  </si>
  <si>
    <t>SOUR BLUE BIG FOOT</t>
  </si>
  <si>
    <t>SKITTLES</t>
  </si>
  <si>
    <t>BIG TURK BITES</t>
  </si>
  <si>
    <t>JELLY BEAN</t>
  </si>
  <si>
    <t>GUMBALLS COLOSSAL ASSORTED</t>
  </si>
  <si>
    <t>DUBBLE BUBBLE</t>
  </si>
  <si>
    <t>POWERMINTS PEPPERMINT</t>
  </si>
  <si>
    <t>JAMAICAN JERK SEASONING</t>
  </si>
  <si>
    <t>WHOLE BAY LEAVES</t>
  </si>
  <si>
    <t>CREAM OF TARTAR</t>
  </si>
  <si>
    <t>WHOLE CUMIN SEED</t>
  </si>
  <si>
    <t>RUBBED OREGANO</t>
  </si>
  <si>
    <t>ALL NAT.MINI BREATH BEATERS</t>
  </si>
  <si>
    <t>OUTDOOR SONG BIRD MIX</t>
  </si>
  <si>
    <t>EARL GREY TEA LOOSE</t>
  </si>
  <si>
    <t>LEMON &amp; HONEY GREEN TEA LOOSE</t>
  </si>
  <si>
    <t>MILLET HULLED</t>
  </si>
  <si>
    <t>OAT BRAN CEREAL</t>
  </si>
  <si>
    <t>ORGANIC MEDJOOL DATES</t>
  </si>
  <si>
    <t>CHOPPED PEANUTS R, NO SALT</t>
  </si>
  <si>
    <t>MILK CHOCOLATE CHIPS</t>
  </si>
  <si>
    <t>HIMALAYAN PINK SEA SALT</t>
  </si>
  <si>
    <t>SILVER COLA BALLS</t>
  </si>
  <si>
    <t>RAW MIXED NUTS W/PEANUTS</t>
  </si>
  <si>
    <t>BON BONS WHITE TOFFEE</t>
  </si>
  <si>
    <t>GROUND ALMONDS NATURAL</t>
  </si>
  <si>
    <t>DRY RSTD CHICK PEAS SEA SALT</t>
  </si>
  <si>
    <t>BARL, LENT &amp; QUIN BR RICE BLND</t>
  </si>
  <si>
    <t>DINOSAUR GUMMIES</t>
  </si>
  <si>
    <t>ORGANIC TRI COLOUR QUINOA</t>
  </si>
  <si>
    <t>FESTIVE SEASONING</t>
  </si>
  <si>
    <t>BLUE PEARLIZED GUMBALLS</t>
  </si>
  <si>
    <t>SOUR PINEAPPLE GUMMIES</t>
  </si>
  <si>
    <t>SMOKEY BBQ ALMONDS</t>
  </si>
  <si>
    <t>DILL PEANUTS</t>
  </si>
  <si>
    <t>Import Date</t>
  </si>
  <si>
    <t>7688</t>
  </si>
  <si>
    <t>MINT ECLAIRS</t>
  </si>
  <si>
    <t>7697</t>
  </si>
  <si>
    <t>BUT'R MINTS</t>
  </si>
  <si>
    <t>775</t>
  </si>
  <si>
    <t>SORBEES LOLLIPOPS</t>
  </si>
  <si>
    <t>778</t>
  </si>
  <si>
    <t>NSA STARLITE MINTS</t>
  </si>
  <si>
    <t xml:space="preserve"> 4294967295  of  1</t>
  </si>
  <si>
    <t>Bulk Pet Food</t>
  </si>
  <si>
    <t>Totes</t>
  </si>
  <si>
    <t>CHICK 'N NUGGET DOG BISCUITS</t>
  </si>
  <si>
    <t>Turkey Mini Dog Biscuits</t>
  </si>
  <si>
    <t>Pigeon Mix</t>
  </si>
  <si>
    <t>Nyger Seed</t>
  </si>
  <si>
    <t>Cockatiel Seed Mix</t>
  </si>
  <si>
    <t>Salmon Mini Dog Biscuits</t>
  </si>
  <si>
    <t>Veggie &amp; Fruit Mini Dog Biscuits</t>
  </si>
  <si>
    <t>All Natural Peanut Butter Dog Biscuits</t>
  </si>
  <si>
    <t>Pig Ear Pieces</t>
  </si>
  <si>
    <t>Parrot Mix</t>
  </si>
  <si>
    <t>All Natural White Rawhide Chips</t>
  </si>
  <si>
    <t>Large Turkey Dog Biscuits</t>
  </si>
  <si>
    <t>Large Cheddar Cheese Dog Biscuit</t>
  </si>
  <si>
    <t>Grain Free Salmon Dog Biscuits</t>
  </si>
  <si>
    <t>Grain Free Banana Mini Dog Biscuits</t>
  </si>
  <si>
    <t>Ginger Chunks, In Syrup</t>
  </si>
  <si>
    <t>Maraschino Cherries - Red</t>
  </si>
  <si>
    <t>Maraschino Cherries, Whole Green</t>
  </si>
  <si>
    <t>Lexia Raisins</t>
  </si>
  <si>
    <t>Zante Currants</t>
  </si>
  <si>
    <t>Honey Dates, Pits Removed</t>
  </si>
  <si>
    <t>Diced Dates, Dextrose Coated</t>
  </si>
  <si>
    <t>Black Mission Figs</t>
  </si>
  <si>
    <t>Dried Mulberries</t>
  </si>
  <si>
    <t>Dried Blueberries</t>
  </si>
  <si>
    <t>Dried Tart Cherries</t>
  </si>
  <si>
    <t>Dried Mixed Fruit With Prunes</t>
  </si>
  <si>
    <t>Deluxe Fruit Mix</t>
  </si>
  <si>
    <t>Citron Peel</t>
  </si>
  <si>
    <t>Natural Pineapple Wedges, Glazed</t>
  </si>
  <si>
    <t>Dried Mango Slices, Unsweetened</t>
  </si>
  <si>
    <t>-</t>
  </si>
  <si>
    <t>Aisle 1A (Nuts)</t>
  </si>
  <si>
    <t>Cashew Pieces, Roasted &amp; Salted</t>
  </si>
  <si>
    <t>Macadamia Nuts Roasted &amp; Salted</t>
  </si>
  <si>
    <t>Mediterranean Red Pistachios, Dry Roasted &amp; Salted</t>
  </si>
  <si>
    <t>Buttered Peanuts Beer Nuts</t>
  </si>
  <si>
    <t>Sesame Honey Almonds</t>
  </si>
  <si>
    <t>Burnt Peanuts</t>
  </si>
  <si>
    <t>Hershey's Skor Toffee Bits</t>
  </si>
  <si>
    <t>Natural Whole Brazil Nuts</t>
  </si>
  <si>
    <t>Raw Macadamia Nuts</t>
  </si>
  <si>
    <t>Pine Nuts, pignolias</t>
  </si>
  <si>
    <t>Whole Almonds, Blanched</t>
  </si>
  <si>
    <t>M&amp;M'S Mini Milk Chocolate</t>
  </si>
  <si>
    <t>Mixed Nuts, Honey Roasted</t>
  </si>
  <si>
    <t>Mixed Nuts with Peanuts, Roasted &amp; Unsalted</t>
  </si>
  <si>
    <t>Honey Roasted Sriracha Cashews</t>
  </si>
  <si>
    <t>Brazil Nuts, salted</t>
  </si>
  <si>
    <t>Organic Maple Flakes</t>
  </si>
  <si>
    <t>Mixed Nuts, D.Roasted, No Peanuts, Unsalted</t>
  </si>
  <si>
    <t>Aisle 1B (Baking Products)</t>
  </si>
  <si>
    <t>Organic Whole Cranberries</t>
  </si>
  <si>
    <t>Dried Blueberries, Wild</t>
  </si>
  <si>
    <t>Unsweetened Bing Cherries</t>
  </si>
  <si>
    <t>Aisle 2A (Cereals/Mixes)</t>
  </si>
  <si>
    <t>Aisle 2B (Snacks)</t>
  </si>
  <si>
    <t>Aisle 3A (Chocolate &amp; Seasonal)</t>
  </si>
  <si>
    <t>Aisle 3B (Gummi &amp; Misc. Candy)</t>
  </si>
  <si>
    <t>Aisle 4A (Gummi Candy Cont.)</t>
  </si>
  <si>
    <t>Aisle 4B (Salt, Pasta &amp; Soup)</t>
  </si>
  <si>
    <t>Towers (A4A &amp; A4B)</t>
  </si>
  <si>
    <t>Wet Pails, Honey, Etc.</t>
  </si>
  <si>
    <t xml:space="preserve">Aisle 5A&amp;B (Gluten-Free, Seeds &amp; Drink Mixes) </t>
  </si>
  <si>
    <t>Coffee &amp; Teas</t>
  </si>
  <si>
    <t>Spices</t>
  </si>
  <si>
    <t>Name</t>
  </si>
  <si>
    <t>CASSAVA CHIPS - PLAIN</t>
  </si>
  <si>
    <t>EXOTIC FRUIT MEDLEY TRAIL MIX</t>
  </si>
  <si>
    <t>DRIED MIXED VEGETABLE CHIPS</t>
  </si>
  <si>
    <t>PISTACHIO CRUNCH</t>
  </si>
  <si>
    <t>SOUR CRM &amp; HAB. PRETZEL NUGGET</t>
  </si>
  <si>
    <t>CHEWY ORGANIC BANANA BITES</t>
  </si>
  <si>
    <t>CHEWY ORG COCONUT BANANA BITES</t>
  </si>
  <si>
    <t>SEASONED RYE BAGEL CHIPS</t>
  </si>
  <si>
    <t>ORGANIC TOASTED COCONUT SLICES</t>
  </si>
  <si>
    <t>ROCK SALT</t>
  </si>
  <si>
    <t>BAKING GUMS</t>
  </si>
  <si>
    <t>DEMERARA SUGAR</t>
  </si>
  <si>
    <t>ORGANIC BLACK BEAN FLOUR</t>
  </si>
  <si>
    <t>ORGANIC GREEN LENTIL FLOUR</t>
  </si>
  <si>
    <t>ORGANIC RED SPLIT LENTIL FLOUR</t>
  </si>
  <si>
    <t>ORGANIC CREPE MIX (MULTIGRAIN)</t>
  </si>
  <si>
    <t>ORGANIC CANE SUGAR SACHETS</t>
  </si>
  <si>
    <t>ORGANIC AMARANTH FLOUR</t>
  </si>
  <si>
    <t>ORG. SPROUTED BUCKWHEAT FLOUR</t>
  </si>
  <si>
    <t>MONK FRUIT/ERYTHRITOL BLEND</t>
  </si>
  <si>
    <t>SEAFOOD CHOWDER SOUP BASE</t>
  </si>
  <si>
    <t>MINESTRONE SOUP</t>
  </si>
  <si>
    <t>BOUILLON CUBES VEGETABLE</t>
  </si>
  <si>
    <t>ONION SOUP BASE NO MSG</t>
  </si>
  <si>
    <t>TOMATO &amp; VEG. SOUP BASE W/BEAN</t>
  </si>
  <si>
    <t>WILD RICE VEGETABLE SOUP</t>
  </si>
  <si>
    <t>BROWN LENTILS</t>
  </si>
  <si>
    <t>SPICY NORTHERN SOUP MIX</t>
  </si>
  <si>
    <t>FIRE ROASTED TOMATO SOUP BASE</t>
  </si>
  <si>
    <t>JUICY PEACH HEARTS</t>
  </si>
  <si>
    <t>GRAPEFRUIT SLICES</t>
  </si>
  <si>
    <t>YOGURT COVERED CRANBERRIES</t>
  </si>
  <si>
    <t>RATTLESNAKE GUMMIES</t>
  </si>
  <si>
    <t>SOUR POPPERS</t>
  </si>
  <si>
    <t>BUTTERFLY GUMMIES</t>
  </si>
  <si>
    <t>BABY PACIFIERS</t>
  </si>
  <si>
    <t>YOGURT PEANUTS</t>
  </si>
  <si>
    <t>SOUR SHIVERS</t>
  </si>
  <si>
    <t>STRIPED MINTS</t>
  </si>
  <si>
    <t>FRUIT CHEWS ASSORTED</t>
  </si>
  <si>
    <t>BLACK LACES</t>
  </si>
  <si>
    <t>BAZOOKA GUM</t>
  </si>
  <si>
    <t>INTENSE DELUXE JELLIES</t>
  </si>
  <si>
    <t>JUICY SOUR BLUE RASP RINGS</t>
  </si>
  <si>
    <t>FRUIT SLICES</t>
  </si>
  <si>
    <t>DINO SOURS</t>
  </si>
  <si>
    <t>DOUBLE SALTED LICORICE</t>
  </si>
  <si>
    <t>BLACK ANISEED BALLS</t>
  </si>
  <si>
    <t>WARHEADS SOUR CHEWS</t>
  </si>
  <si>
    <t>LIFE SAVERS FIVE FRUIT</t>
  </si>
  <si>
    <t>TWIZZLERS CHERRY NIBS</t>
  </si>
  <si>
    <t>GREEK YOGURT ALMONDS</t>
  </si>
  <si>
    <t>FRUIT TWISTS STRAWBERRY</t>
  </si>
  <si>
    <t>MLK CH. TOF.PEANUTS(BEER NUTS)</t>
  </si>
  <si>
    <t>ORGANIC PEACH RINGS</t>
  </si>
  <si>
    <t>ORGANIC WATERMELON RINGS</t>
  </si>
  <si>
    <t>ORGANIC JELLY BEANS</t>
  </si>
  <si>
    <t>ORGANIC LOLLIPOPS</t>
  </si>
  <si>
    <t>OMG'S PEANUT</t>
  </si>
  <si>
    <t>BON BONS BLUE RASPBERRY</t>
  </si>
  <si>
    <t>BON BONS BLACKCURRANT</t>
  </si>
  <si>
    <t>BON BONS CHERRY</t>
  </si>
  <si>
    <t>BON BONS STRAWBERRY</t>
  </si>
  <si>
    <t>MINI FRUIT FILLED CANDY</t>
  </si>
  <si>
    <t>GIANT COLA BOTTLE GUMMIES</t>
  </si>
  <si>
    <t>GIANT SOUR COLA BOTTLE GUMMIES</t>
  </si>
  <si>
    <t>GIANT DOLPHIN GUMMIES</t>
  </si>
  <si>
    <t>GIANT CROCODILE GUMMIES</t>
  </si>
  <si>
    <t>T.B. LA JOLA LEMON</t>
  </si>
  <si>
    <t>T.B. CARIBBEAN PUNCH</t>
  </si>
  <si>
    <t>SOCIAL TEA COOKIES</t>
  </si>
  <si>
    <t>MINT CHOC SANDWICH COOKIES</t>
  </si>
  <si>
    <t>STRAW/KIWI KISSED CRYSTALS</t>
  </si>
  <si>
    <t>CHAI TEA LATTE MIX</t>
  </si>
  <si>
    <t>ORG APPLE CINN INSTANT OAT CER</t>
  </si>
  <si>
    <t>ORG RAISIN&amp;SP INSTANT OAT CER</t>
  </si>
  <si>
    <t>ORGANIC SOY FLAKES</t>
  </si>
  <si>
    <t>ORGANIC MORNING MEDLEY GRANOLA</t>
  </si>
  <si>
    <t>SALTED CARAMEL HOT CHOCOLATE</t>
  </si>
  <si>
    <t>ON THE GO CHOC MIX BEVERAGE</t>
  </si>
  <si>
    <t>SPAGHETTI</t>
  </si>
  <si>
    <t>WHOLE GRAIN SPAGHETTI</t>
  </si>
  <si>
    <t>WHOLE GRAIN 5 BLEND</t>
  </si>
  <si>
    <t>SPINACH FETTUCCINE</t>
  </si>
  <si>
    <t>BROWN RICE PENNE MWWI</t>
  </si>
  <si>
    <t>BROWN RICE ELBOWS MWWI</t>
  </si>
  <si>
    <t>BROWN RICE FETTUCCINE MWWI</t>
  </si>
  <si>
    <t>RAVIOLI WITH SPINACH &amp; RICOTTA</t>
  </si>
  <si>
    <t>VEGETABLE PASTA PRINCESS SHAPE</t>
  </si>
  <si>
    <t>VEG PASTA ZOO ANIMAL SHAPES</t>
  </si>
  <si>
    <t>LEMON BAKING CHIPS</t>
  </si>
  <si>
    <t>Bulk Croutons &amp; Misc</t>
  </si>
  <si>
    <t>Bulk Wet Pails</t>
  </si>
  <si>
    <t>Bulk Tea/Coffee</t>
  </si>
  <si>
    <t>GO GOJI TRAIL MIX</t>
  </si>
  <si>
    <t>CHOCOLICIOUS</t>
  </si>
  <si>
    <t>CORNNUTS UNSALTED</t>
  </si>
  <si>
    <t>PUMPKIN SEED HULLED NS DRY RST</t>
  </si>
  <si>
    <t>SESAME HONEY CRUNCH</t>
  </si>
  <si>
    <t>YOGURT PRETZELS</t>
  </si>
  <si>
    <t>PAPAYA CHUNKS</t>
  </si>
  <si>
    <t>PRETZEL RODS</t>
  </si>
  <si>
    <t>HONEY MUSTARD PRETZEL NUGGETS</t>
  </si>
  <si>
    <t>LIME &amp; CHILI SOYA STICKS</t>
  </si>
  <si>
    <t>DRIED GUAVA SLICES</t>
  </si>
  <si>
    <t>NUTZ N' BOLTZ SNACK MIX</t>
  </si>
  <si>
    <t>KRACKER NUTS CHIPOTLE BBQ</t>
  </si>
  <si>
    <t>KRACKER NUTS DILL PICKLE</t>
  </si>
  <si>
    <t>KRACKER NUTS JALAPENO CHEDDAR</t>
  </si>
  <si>
    <t>CORNNUTS JALAPENO CHEDDAR</t>
  </si>
  <si>
    <t>DRY RSTD CHICK PEAS BBQ</t>
  </si>
  <si>
    <t>S'MORES POPCORN</t>
  </si>
  <si>
    <t>ALMOND, CASHEW &amp; PUMPKIN CRNCH</t>
  </si>
  <si>
    <t>WHITE CHOC PPRMNT CRNCH POPCRN</t>
  </si>
  <si>
    <t>HOLIDAY CRUNCH POPCORN R, G, W</t>
  </si>
  <si>
    <t>CH CVRD NUT CLSTR (CAS/AL/PIS)</t>
  </si>
  <si>
    <t>SALTED CARAMEL PRETZEL NUGGETS</t>
  </si>
  <si>
    <t>GREEN PEA SNAPS</t>
  </si>
  <si>
    <t>MILK CHOC SEA SLT CRNCH POPCRN</t>
  </si>
  <si>
    <t>KEY LIME PRETZELS</t>
  </si>
  <si>
    <t>TOASTED COCONUT SQUARES</t>
  </si>
  <si>
    <t>PURE MLK CH SS CAR PRETZEL NIB</t>
  </si>
  <si>
    <t>PB&amp;B SNACK MIX</t>
  </si>
  <si>
    <t>PEANUT BTR MLK CH PRETZL BALLS</t>
  </si>
  <si>
    <t>PEANUT BUTTER MARSHMALLW CRNCH</t>
  </si>
  <si>
    <t>PRETZEL RINGS</t>
  </si>
  <si>
    <t>MILK CHOC COATED XMAS PRETZELS</t>
  </si>
  <si>
    <t>WHITE CHOC CAR POPCRN</t>
  </si>
  <si>
    <t>YOGURT SNOWFLAKE W/SILV SPR PR</t>
  </si>
  <si>
    <t>SEA SALT TRUFFLE QUINOA PUFFS</t>
  </si>
  <si>
    <t>SWEET CHILI QUINOA PUFFS</t>
  </si>
  <si>
    <t>GRUMBLING BELLIES TRAIL MIX</t>
  </si>
  <si>
    <t>COCO-NUTS FOR CHOC TRAIL MIX</t>
  </si>
  <si>
    <t>POWDERED SUGAR CANNOLI CHIPS</t>
  </si>
  <si>
    <t>CASHEW PIECES R&amp;S</t>
  </si>
  <si>
    <t>MACADAMIA NUTS R&amp;S</t>
  </si>
  <si>
    <t>RED PISTACHIOS MEDITERRANEAN</t>
  </si>
  <si>
    <t>BUTTERED PEANUTS (BEER NUTS)</t>
  </si>
  <si>
    <t>HICKORY SMOKED ALMONDS</t>
  </si>
  <si>
    <t>R&amp;S IN SHELL SUNFLOWER SEEDS</t>
  </si>
  <si>
    <t>SESAME HONEY ALMONDS</t>
  </si>
  <si>
    <t>BUTTERED PECANS</t>
  </si>
  <si>
    <t>BRAZIL NUTS IN SHELL</t>
  </si>
  <si>
    <t>MIXED NUTS IN SHELL</t>
  </si>
  <si>
    <t>WALNUTS IN SHELL</t>
  </si>
  <si>
    <t>BURNT PEANUTS</t>
  </si>
  <si>
    <t>HONEY ROASTED MIXED NUTS</t>
  </si>
  <si>
    <t>MIXED NUTS WITH PEANUTS NS</t>
  </si>
  <si>
    <t>BBQ CASHEWS</t>
  </si>
  <si>
    <t>DRY RST DELUX MIXED NUTS NS/NP</t>
  </si>
  <si>
    <t>HONEY APPLE WALNUTS</t>
  </si>
  <si>
    <t>SRIRACHA PEANUTS</t>
  </si>
  <si>
    <t>HONEY ROASTED SRIRACHA CASHEWS</t>
  </si>
  <si>
    <t>BRAZIL NUTS WHOLE DRY R &amp; S</t>
  </si>
  <si>
    <t>SALTED CARAMEL PEANUTS</t>
  </si>
  <si>
    <t>BROWNIE MIX MWWI</t>
  </si>
  <si>
    <t>ORGANIC RED FIFE FLOUR</t>
  </si>
  <si>
    <t>BANANA BREAD BLEND MWWI</t>
  </si>
  <si>
    <t>PANCAKE MIX MWWI</t>
  </si>
  <si>
    <t>PIZZA CRUST BLEND MWWI</t>
  </si>
  <si>
    <t>MACA ROOT POWDER ORGANIC MWWI</t>
  </si>
  <si>
    <t>QUINOA FLOUR ORGANIC MWWI</t>
  </si>
  <si>
    <t>COARSE SEA SALT</t>
  </si>
  <si>
    <t>TABLE SALT (IODIZED)</t>
  </si>
  <si>
    <t>RAW HULLED SESAME SEEDS</t>
  </si>
  <si>
    <t>CHEESE POWDER (BAKING)</t>
  </si>
  <si>
    <t>COMPLETE BROWN GRAVY MIX</t>
  </si>
  <si>
    <t>COMPLETE CHICKEN GRAVY</t>
  </si>
  <si>
    <t>SELF RISING FLOUR</t>
  </si>
  <si>
    <t>CORN FLOUR YELLOW MWWI</t>
  </si>
  <si>
    <t>POTATO STARCH MWWI</t>
  </si>
  <si>
    <t>ORGANIC LIGHT BUCKWHEAT FLOUR</t>
  </si>
  <si>
    <t>OATMEAL MUFFIN MIX</t>
  </si>
  <si>
    <t>KOSHER SALT</t>
  </si>
  <si>
    <t>ORGANIC DARK BUCKWHEAT FLOUR</t>
  </si>
  <si>
    <t>CHOCOLATE CAKE &amp; MUFFIN MIX</t>
  </si>
  <si>
    <t>VANILLA CAKE &amp; MUFFIN MIX</t>
  </si>
  <si>
    <t>VANILLA WAFER CRUMBS</t>
  </si>
  <si>
    <t>FISH &amp; CHIP BATTER</t>
  </si>
  <si>
    <t>CHOCOLATE COOKIE CRUMBS</t>
  </si>
  <si>
    <t>SEMOLINA DURUM</t>
  </si>
  <si>
    <t>INSTANT MASHED POTATO FLAKES</t>
  </si>
  <si>
    <t>GROUND CHIA NON GMO</t>
  </si>
  <si>
    <t>SORGHUM FLOUR MWWI</t>
  </si>
  <si>
    <t>RED VELVET CAKE &amp; MUFFIN MIX</t>
  </si>
  <si>
    <t>ORG SPROUTED WHOLE WHEAT FLOUR</t>
  </si>
  <si>
    <t>STEVIA/ERYTHRITOL BLEND</t>
  </si>
  <si>
    <t>ORG MULTI PANCAKE &amp; WAFFLE MIX</t>
  </si>
  <si>
    <t>ORGANIC POWDERED PEANUT BUTTER</t>
  </si>
  <si>
    <t>BANANA FLOUR NON-GMO MWWI</t>
  </si>
  <si>
    <t>WHL GRN &amp; SEED CK &amp; MUFFIN MIX</t>
  </si>
  <si>
    <t>ORGANIC MAPLE FLAKES</t>
  </si>
  <si>
    <t>SEASONED CROUTONS</t>
  </si>
  <si>
    <t>PLAIN BREAD CRUMBS</t>
  </si>
  <si>
    <t>SEASONED BREAD CRUMBS</t>
  </si>
  <si>
    <t>PANKO BREAD CRUMBS</t>
  </si>
  <si>
    <t>PEARL BARLEY</t>
  </si>
  <si>
    <t>PINTO BEANS</t>
  </si>
  <si>
    <t>MUNG BEANS</t>
  </si>
  <si>
    <t>NAVY BEANS (WHITE)</t>
  </si>
  <si>
    <t>LARGE LIMA BEANS</t>
  </si>
  <si>
    <t>GREEN SPLIT PEAS</t>
  </si>
  <si>
    <t>YELLOW SPLIT PEAS</t>
  </si>
  <si>
    <t>CHICK PEAS (GARBANZO)</t>
  </si>
  <si>
    <t>BLACK TURTLE BEANS</t>
  </si>
  <si>
    <t>ADZUKI BEANS</t>
  </si>
  <si>
    <t>CHICKEN SOUP BASE- REGULAR</t>
  </si>
  <si>
    <t>FRENCH ONION SOUP</t>
  </si>
  <si>
    <t>BOUILLON CUBES BEEF</t>
  </si>
  <si>
    <t>BOUILLON CUBES CHICKEN</t>
  </si>
  <si>
    <t>CHICKEN SOUP BASE NO MSG</t>
  </si>
  <si>
    <t>BEEF SOUP BASE NO MSG</t>
  </si>
  <si>
    <t>CHIC SOUP LO SODIUM NO MSG</t>
  </si>
  <si>
    <t>VEGETARIAN CHIC SOUP</t>
  </si>
  <si>
    <t>BLACK BELUGA LENTILS</t>
  </si>
  <si>
    <t>POTATO CARROT GINGER SOUP</t>
  </si>
  <si>
    <t>ANASAZI BEANS</t>
  </si>
  <si>
    <t>APPALOOSA BEANS</t>
  </si>
  <si>
    <t>TONGUES OF FIRE</t>
  </si>
  <si>
    <t>CHILI SOUP BASE</t>
  </si>
  <si>
    <t>JUMPIN' JAMBALAYA SOUP MIX</t>
  </si>
  <si>
    <t>TORTILLA SOUP MIX</t>
  </si>
  <si>
    <t>MARSHMALLOW ASSORTED</t>
  </si>
  <si>
    <t>MARSHMALLOW STRAWBERRY</t>
  </si>
  <si>
    <t>SOUR MUNCHKINS</t>
  </si>
  <si>
    <t>JUMBO GUM DROPS</t>
  </si>
  <si>
    <t>PURE CHOCOLATE JUBES</t>
  </si>
  <si>
    <t>MINI TOOTSIE FLAVOUR ROLLS</t>
  </si>
  <si>
    <t>DARK ROSEBUDS</t>
  </si>
  <si>
    <t>SOUR GUMMI BEARS</t>
  </si>
  <si>
    <t>LICORICE CIGARS</t>
  </si>
  <si>
    <t>HERSHEY HUGS</t>
  </si>
  <si>
    <t>CHOCOLATE PEBBLES</t>
  </si>
  <si>
    <t>LOLLY POPS</t>
  </si>
  <si>
    <t>JUICY GIANT STRAWBERRY GUMMIES</t>
  </si>
  <si>
    <t>JUICY TEETH GUMMIES</t>
  </si>
  <si>
    <t>CANDY COATED LICORICE</t>
  </si>
  <si>
    <t>CHOCOLATE TRUFFLES</t>
  </si>
  <si>
    <t>QUALITY STREET</t>
  </si>
  <si>
    <t>TURKISH  DELIGHT ASST FLAVS</t>
  </si>
  <si>
    <t>CHOCOLATE YUMMIES</t>
  </si>
  <si>
    <t>SPEARMINT SCOTCH MINTS</t>
  </si>
  <si>
    <t>PINK CONFETTI</t>
  </si>
  <si>
    <t>BLUE CONFETTI</t>
  </si>
  <si>
    <t>GREEN CONFETTI</t>
  </si>
  <si>
    <t>YELLOW CONFETTI</t>
  </si>
  <si>
    <t>CHOCOLATE TOONIES</t>
  </si>
  <si>
    <t>RED CONFETTI</t>
  </si>
  <si>
    <t>SPEARMINT LEAVES</t>
  </si>
  <si>
    <t>WINTERGREEN MINTS</t>
  </si>
  <si>
    <t>GIANT OKEYDOKE</t>
  </si>
  <si>
    <t>CARAMEL CUPS</t>
  </si>
  <si>
    <t>ALL CONFETTI</t>
  </si>
  <si>
    <t>HERSHEY'S WHOPPERS</t>
  </si>
  <si>
    <t>WHITE CONFETTI</t>
  </si>
  <si>
    <t>HERSHEY MINIATURES</t>
  </si>
  <si>
    <t>VANILLA CARAMELS</t>
  </si>
  <si>
    <t>CHOCOLATE ALMOND BARK -DARK</t>
  </si>
  <si>
    <t>WHITE ALMOND BARK</t>
  </si>
  <si>
    <t>ENGLISH MINTS</t>
  </si>
  <si>
    <t>SCOTCH MINTS</t>
  </si>
  <si>
    <t>CARAMEL NUT CLUSTER</t>
  </si>
  <si>
    <t>ASSORTED SALT WATER TAFFY</t>
  </si>
  <si>
    <t>JUICY BANANA GUMMIES</t>
  </si>
  <si>
    <t>SKORS BARS</t>
  </si>
  <si>
    <t>ICY SQUARES</t>
  </si>
  <si>
    <t>MIKE &amp; IKE</t>
  </si>
  <si>
    <t>HOT TAMALES (spicy)</t>
  </si>
  <si>
    <t>ZINGY ZAPS</t>
  </si>
  <si>
    <t>CHOCOLATE PEANUT BRITTLE</t>
  </si>
  <si>
    <t>ORGANIC CHOCOLATE COV. ALMONDS</t>
  </si>
  <si>
    <t>CHOCOLATE NEAPOLITAN MIX</t>
  </si>
  <si>
    <t>FRUIT BLAST</t>
  </si>
  <si>
    <t>SOUR JELLY BEANS</t>
  </si>
  <si>
    <t>GREEN STRIPED MINTS</t>
  </si>
  <si>
    <t>GUMMI BEARS - LARGE</t>
  </si>
  <si>
    <t>SOUR BELTS</t>
  </si>
  <si>
    <t>CHOCOLATE LOONIES</t>
  </si>
  <si>
    <t>SOUR MINI JU JUBES</t>
  </si>
  <si>
    <t>HERSHEY COOKIES N'CREME KISSES</t>
  </si>
  <si>
    <t>CHOC. COV'D BORDEAUX CHERRIES</t>
  </si>
  <si>
    <t>LAVENDER CONFETTI</t>
  </si>
  <si>
    <t>MILK CHOCOLATE COVERED CASHEWS</t>
  </si>
  <si>
    <t>CANDY BLOX</t>
  </si>
  <si>
    <t>52% DARK CHOC. COV. GINGER</t>
  </si>
  <si>
    <t>JUICY SOUR NEON WORMS</t>
  </si>
  <si>
    <t>73% DARK CHOC COV CRANBERRIES</t>
  </si>
  <si>
    <t>MINI CUB GUMMIES</t>
  </si>
  <si>
    <t>MINI TURTLES</t>
  </si>
  <si>
    <t>FRUIT JUICE GUMMY BEARS</t>
  </si>
  <si>
    <t>SIGNATURE CINNAMON</t>
  </si>
  <si>
    <t>HERSHEY DROPS COOKIES N'CREAM</t>
  </si>
  <si>
    <t>SIG.MENTH/EUCAL THRT DROP</t>
  </si>
  <si>
    <t>SUGARLESS STARLITE MINTS</t>
  </si>
  <si>
    <t>JUICY APPLE RINGS</t>
  </si>
  <si>
    <t>PEANUT BUTTER LOGS</t>
  </si>
  <si>
    <t>ASSORTED CHEWS</t>
  </si>
  <si>
    <t>SIGNATURE WILD FRUIT ASSORTED</t>
  </si>
  <si>
    <t>SIGNATURE BLACK LICORICE</t>
  </si>
  <si>
    <t>WILD STRAWBERRY</t>
  </si>
  <si>
    <t>BLUE WHALES</t>
  </si>
  <si>
    <t>CHERRY TWISTS</t>
  </si>
  <si>
    <t>MIKE &amp; IKE RED RAGEOUS</t>
  </si>
  <si>
    <t>YOGURT BLUEBERRIES</t>
  </si>
  <si>
    <t>PEANUT BUTTER FOOTBALLS</t>
  </si>
  <si>
    <t>KEY LIME FRUIT SLICES</t>
  </si>
  <si>
    <t>DARK CHOC. ACAI FRUIT BITES</t>
  </si>
  <si>
    <t>YOGURT COVERED POM FRUIT BITES</t>
  </si>
  <si>
    <t>MILK CHOC. SEA SALT CARAMELS</t>
  </si>
  <si>
    <t>ORGANIC GUMMI BEARS</t>
  </si>
  <si>
    <t>OMG'S DARK CHOCOLATE</t>
  </si>
  <si>
    <t>REESE'S STICKS</t>
  </si>
  <si>
    <t>CHOC CVRD SPONGE TOFFEE PIECES</t>
  </si>
  <si>
    <t>HOCKEY PLAYERS</t>
  </si>
  <si>
    <t>HERSHEY DROPS MILK CHOCOLATE</t>
  </si>
  <si>
    <t>BON BONS LEMON</t>
  </si>
  <si>
    <t>IT'S A BOY CHOCOLATE COINS</t>
  </si>
  <si>
    <t>IT'S A GIRL CHOCOLATE COINS</t>
  </si>
  <si>
    <t>GOURMET GUMMI BEARS</t>
  </si>
  <si>
    <t>CHOCOLATE ALMOND BARK - MILK</t>
  </si>
  <si>
    <t>MINI ROLO</t>
  </si>
  <si>
    <t>CHOCOLATE VANILLA CARAMELS</t>
  </si>
  <si>
    <t>PAPA BEAR GUMMIES</t>
  </si>
  <si>
    <t>NHL CHOCOLATE PUCKS</t>
  </si>
  <si>
    <t>50% DARK CHOC COCONUT ALMONDS</t>
  </si>
  <si>
    <t>NSA LOLLIPOPS</t>
  </si>
  <si>
    <t>NSA RAINBOW POPS</t>
  </si>
  <si>
    <t>DIVINE CRUNCH</t>
  </si>
  <si>
    <t>SOUR SKITTLES</t>
  </si>
  <si>
    <t>M&amp;M'S CRISPY CHOC CANDIES</t>
  </si>
  <si>
    <t>T.B. ISLAND COCONUT</t>
  </si>
  <si>
    <t>RED FRUIT SOURS</t>
  </si>
  <si>
    <t>PURPLE FRUIT SOURS</t>
  </si>
  <si>
    <t>GREEN FRUIT SOURS</t>
  </si>
  <si>
    <t>BLUE FRUIT SOURS</t>
  </si>
  <si>
    <t>YELLOW FRUIT SOURS</t>
  </si>
  <si>
    <t>PINK FRUIT SOURS</t>
  </si>
  <si>
    <t>ORANGE FRUIT SOURS</t>
  </si>
  <si>
    <t>WHITE FRUIT SOURS</t>
  </si>
  <si>
    <t>RED GUMBALLS</t>
  </si>
  <si>
    <t>PURPLE PEARLIZED GUMBALLS</t>
  </si>
  <si>
    <t>GREEN PEARLIZED GUMBALLS</t>
  </si>
  <si>
    <t>YELLOW PEARLIZED GUMBALLS</t>
  </si>
  <si>
    <t>ORANGE PEARLIZED GUMBALLS</t>
  </si>
  <si>
    <t>WHITE PEARLIZED GUMBALLS</t>
  </si>
  <si>
    <t>BLUE FOIL CARAMEL BALLS</t>
  </si>
  <si>
    <t>GREEN FOIL CARAMEL BALLS</t>
  </si>
  <si>
    <t>PINK FOIL CARAMEL BALLS</t>
  </si>
  <si>
    <t>PURPLE FOIL CARAMEL BALLS</t>
  </si>
  <si>
    <t>RED FOIL CARAMEL BALLS</t>
  </si>
  <si>
    <t>SILVER FOIL CARAMEL BALLS</t>
  </si>
  <si>
    <t>ORANGE FOIL CARAMEL BALLS</t>
  </si>
  <si>
    <t>YELLOW FOIL CARAMEL BALLS</t>
  </si>
  <si>
    <t>WHITE CHOCOLATE GEMS</t>
  </si>
  <si>
    <t>RED CHOCOLATE GEMS</t>
  </si>
  <si>
    <t>ORANGE CHOCOLATE GEMS</t>
  </si>
  <si>
    <t>YELLOW CHOCOLATE GEMS</t>
  </si>
  <si>
    <t>PINK CHOCOLATE GEMS</t>
  </si>
  <si>
    <t>BLUE CHOCOLATE GEMS</t>
  </si>
  <si>
    <t>PURPLE CHOCOLATE GEMS</t>
  </si>
  <si>
    <t>GREEN CHOCOLATE GEMS</t>
  </si>
  <si>
    <t>DARK CHOC COVD PUFFED QUINOA</t>
  </si>
  <si>
    <t>GOURMET GUMMI WORMS</t>
  </si>
  <si>
    <t>T.B.MARTINIQUE ORANGE PINEAPPL</t>
  </si>
  <si>
    <t>T.B. ISLAND BREEZE</t>
  </si>
  <si>
    <t>FRUITS N'CREME JELLY BEANS</t>
  </si>
  <si>
    <t>STRAWBERRY&amp;CREAM JELLY BEANS</t>
  </si>
  <si>
    <t>SOFT CENTERED FRUITS</t>
  </si>
  <si>
    <t>ENGLISH TOFFEE</t>
  </si>
  <si>
    <t>LICORICE TOFFEE</t>
  </si>
  <si>
    <t>CHOCOLATE COVERED PEACHES</t>
  </si>
  <si>
    <t>ROCK CANDY COTTON CANDY</t>
  </si>
  <si>
    <t>ROCK CANDY BLUE RASPBERRY</t>
  </si>
  <si>
    <t>ROCK CANDY STRAWBERRY</t>
  </si>
  <si>
    <t>ROCK CANDY ORANGE</t>
  </si>
  <si>
    <t>ROCK CANDY WATERMELON</t>
  </si>
  <si>
    <t>ROCK CANDY LIME</t>
  </si>
  <si>
    <t>ALL ROCK CANDY</t>
  </si>
  <si>
    <t>ROCK CANDY LEMON</t>
  </si>
  <si>
    <t>ROCK CANDY GRAPE</t>
  </si>
  <si>
    <t>ROCK CANDY ROOTBEER</t>
  </si>
  <si>
    <t>ROCK CANDY BLUEBERRY</t>
  </si>
  <si>
    <t>TACO SEASONING MIX</t>
  </si>
  <si>
    <t>STAR ANISE</t>
  </si>
  <si>
    <t>TANDOORI MASALA</t>
  </si>
  <si>
    <t>CHIPOTLE POWDER PURE</t>
  </si>
  <si>
    <t>SMOKED SEA SALT FINE</t>
  </si>
  <si>
    <t>SOUTHERN STYLE PORK RUB</t>
  </si>
  <si>
    <t>ALFREDO PASTA SAUCE MIX</t>
  </si>
  <si>
    <t>FENUGREEK SEEDS</t>
  </si>
  <si>
    <t>CASSIA BUDS</t>
  </si>
  <si>
    <t>PUMPKIN SPICE</t>
  </si>
  <si>
    <t>WHOLE GREEN CARDAMOM</t>
  </si>
  <si>
    <t>WHOLE CELERY SEED</t>
  </si>
  <si>
    <t>WHOLE CHILLIES</t>
  </si>
  <si>
    <t>CINNAMON SUGAR</t>
  </si>
  <si>
    <t>CLOVES GROUND</t>
  </si>
  <si>
    <t>WHOLE CORIANDER SEED</t>
  </si>
  <si>
    <t>GARLIC MINCED</t>
  </si>
  <si>
    <t>UNSEASONED MEAT TENDERIZER</t>
  </si>
  <si>
    <t>MONOSODIUM GLUTAMATE(MSG)</t>
  </si>
  <si>
    <t>MUSTARD SEED WHOLE</t>
  </si>
  <si>
    <t>SUMMER SAVORY</t>
  </si>
  <si>
    <t>OREGANO GROUND</t>
  </si>
  <si>
    <t>PINK PEPPERCORNS</t>
  </si>
  <si>
    <t>TARRAGON RUBBED</t>
  </si>
  <si>
    <t>TURMERIC GROUND</t>
  </si>
  <si>
    <t>ITALIAN SEASONING</t>
  </si>
  <si>
    <t>PICKLING SPICE</t>
  </si>
  <si>
    <t>SEASONED SALT</t>
  </si>
  <si>
    <t>STEAK SPICE REG.</t>
  </si>
  <si>
    <t>POULTRY SEASONING</t>
  </si>
  <si>
    <t>WILDFLOWER QUINS</t>
  </si>
  <si>
    <t>BUTTERFLY QUINS</t>
  </si>
  <si>
    <t>PUMPKIN QUINS</t>
  </si>
  <si>
    <t>CANDY CANE QUINS</t>
  </si>
  <si>
    <t>CRUSHED CANDY CANES</t>
  </si>
  <si>
    <t>BLACK SUGAR</t>
  </si>
  <si>
    <t>ORANGE SUGAR</t>
  </si>
  <si>
    <t>KOSHER SALT SUBSTITUTE</t>
  </si>
  <si>
    <t>DILL PICKLE POPCORN</t>
  </si>
  <si>
    <t>AUTUMN LEAF QUINS</t>
  </si>
  <si>
    <t>MERINGUE POWDER</t>
  </si>
  <si>
    <t>SEQUINS</t>
  </si>
  <si>
    <t>VALENTINE LIP QUINS</t>
  </si>
  <si>
    <t>SILVER BALLS (DRAGEES)</t>
  </si>
  <si>
    <t>CHOCOLATE FLAVOURED SPRINKLES</t>
  </si>
  <si>
    <t>RAINBOW SPRINKLES</t>
  </si>
  <si>
    <t>CHOCOLATE TEENY'S SEMI SWEET</t>
  </si>
  <si>
    <t>WHTE CHED. POPCORN SEASONING</t>
  </si>
  <si>
    <t>SOUR CREME/ONIONS POPCORN</t>
  </si>
  <si>
    <t>BUTTER SALT FOR POPCORN</t>
  </si>
  <si>
    <t>BLACK SPRINKLES</t>
  </si>
  <si>
    <t>GRATED ORANGE PEEL</t>
  </si>
  <si>
    <t>FIVE SPICE</t>
  </si>
  <si>
    <t>HOT MUSTARD POWDER</t>
  </si>
  <si>
    <t>CAJUN SEASONING</t>
  </si>
  <si>
    <t>CILANTRO FLAKES</t>
  </si>
  <si>
    <t>HOT PAPRIKA</t>
  </si>
  <si>
    <t>GROUND SUMAC</t>
  </si>
  <si>
    <t>MONSTER MIX SPRINKLES</t>
  </si>
  <si>
    <t>RIB RUB</t>
  </si>
  <si>
    <t>MULLING SPICE</t>
  </si>
  <si>
    <t>VALENTINE SPRINKLES RED/PNK/WH</t>
  </si>
  <si>
    <t>RICE SEASONING</t>
  </si>
  <si>
    <t>TERIYAKI SEASONING</t>
  </si>
  <si>
    <t>GARLIC CHICKEN SEASONING</t>
  </si>
  <si>
    <t>LEMONGRASS POWDER</t>
  </si>
  <si>
    <t>GROUND ANCHO CHILI POWDER</t>
  </si>
  <si>
    <t>DIJON STYLE MUSTARD</t>
  </si>
  <si>
    <t>SZECHUAN PEPPERCORNS</t>
  </si>
  <si>
    <t>HARVEST SPRINKLES</t>
  </si>
  <si>
    <t>LARGE PUMPKIN QUINS</t>
  </si>
  <si>
    <t>BATS &amp; GHOST QUINS</t>
  </si>
  <si>
    <t>DILL SEED</t>
  </si>
  <si>
    <t>BLACKENING SEASONING</t>
  </si>
  <si>
    <t>HARISSA SEASONING</t>
  </si>
  <si>
    <t>GROUND FENNEL SEED</t>
  </si>
  <si>
    <t>PORTERHOUSE STEAK SEASONING</t>
  </si>
  <si>
    <t>HONEY MUSTARD BBQ RUB</t>
  </si>
  <si>
    <t>CHILI CITRUS &amp; CILANTRO SEASON</t>
  </si>
  <si>
    <t>LEEK FLAKES</t>
  </si>
  <si>
    <t>SHAWARMA SEASONING</t>
  </si>
  <si>
    <t>TOMATO FLAKES</t>
  </si>
  <si>
    <t>JAL. CHEESE POPCORN SEASONING</t>
  </si>
  <si>
    <t>VALENTINE NON-PAREILS</t>
  </si>
  <si>
    <t>EASTER SPRINKLES</t>
  </si>
  <si>
    <t>EASTER NON-PAREILS</t>
  </si>
  <si>
    <t>EASTER EGG QUINS</t>
  </si>
  <si>
    <t>JALAPENO PEPPER DICED</t>
  </si>
  <si>
    <t>MAPLE BBQ SEASONING</t>
  </si>
  <si>
    <t>LEMON SALT</t>
  </si>
  <si>
    <t>LEMON DILL SEASONING</t>
  </si>
  <si>
    <t>HOT CURRY POWDER</t>
  </si>
  <si>
    <t>GREEK SEASONING</t>
  </si>
  <si>
    <t>MONSTER MIX NON-PAREILS</t>
  </si>
  <si>
    <t>SKULL &amp; CROSS BONE QUINS</t>
  </si>
  <si>
    <t>LIGHT BULB QUINS</t>
  </si>
  <si>
    <t>PEPPERMNT FLAV CNDY CANE QUINS</t>
  </si>
  <si>
    <t>RED &amp; GREEN CHOCOLATE TEENY'S</t>
  </si>
  <si>
    <t>CUPID'S ARROW QUINS</t>
  </si>
  <si>
    <t>EASTER CHOCOLATE TEENY'S</t>
  </si>
  <si>
    <t>CARROT &amp; BUNNY QUINS</t>
  </si>
  <si>
    <t>MINI EASTER QUINS</t>
  </si>
  <si>
    <t>EASTER CANDY PEARLS</t>
  </si>
  <si>
    <t>VALENTINE CANDY PEARLS</t>
  </si>
  <si>
    <t>ICE CREAM CONE QUINS</t>
  </si>
  <si>
    <t>DINOSAUR QUINS</t>
  </si>
  <si>
    <t>CLOWN QUINS</t>
  </si>
  <si>
    <t>ABC/123 QUINS</t>
  </si>
  <si>
    <t>FLOWER QUINS</t>
  </si>
  <si>
    <t>MOTT'S CLAMATO CAESAR RIMMER</t>
  </si>
  <si>
    <t>SPICY WHOLE PICKLING SPICE</t>
  </si>
  <si>
    <t>ROAST BEEF AU JUS</t>
  </si>
  <si>
    <t>POUTINE SAUCE</t>
  </si>
  <si>
    <t>HOLLANDAISE SAUCE</t>
  </si>
  <si>
    <t>SEASHORE SEASONING</t>
  </si>
  <si>
    <t>BBQ CHICKEN &amp; RIB SAUCE MIX</t>
  </si>
  <si>
    <t>BUFF. STYLE CHICK &amp; WING SC MX</t>
  </si>
  <si>
    <t>CAESAR DIP MIX</t>
  </si>
  <si>
    <t>RANCH DIP MIX</t>
  </si>
  <si>
    <t>CINN. FLAV GINGERBRD MEN QUINS</t>
  </si>
  <si>
    <t>SWEETHEART QUINS</t>
  </si>
  <si>
    <t>ITTY BITTY HEART QUINS</t>
  </si>
  <si>
    <t>TURTLE QUINS</t>
  </si>
  <si>
    <t>ELEPHANT QUINS</t>
  </si>
  <si>
    <t>BACON CAESAR SEASONING</t>
  </si>
  <si>
    <t>COFFEE RUB SEASONING</t>
  </si>
  <si>
    <t>ALL DRESSED POPCORN SEASONING</t>
  </si>
  <si>
    <t>WINTER WONDERLAND PEARLS</t>
  </si>
  <si>
    <t>CINNAMON APPLE PIE FILLING</t>
  </si>
  <si>
    <t>BLUEBERRY PIE FILLING</t>
  </si>
  <si>
    <t>CHERRY PIE FILLING</t>
  </si>
  <si>
    <t>NON HYDROGEN GARLIC SPREAD</t>
  </si>
  <si>
    <t>STRAWBERRY JAM</t>
  </si>
  <si>
    <t>THREE FRUIT MARMALADE</t>
  </si>
  <si>
    <t>DELUXE MINCEMEAT</t>
  </si>
  <si>
    <t>WHITE LIQUID HONEY</t>
  </si>
  <si>
    <t>AMBER LIQUID HONEY</t>
  </si>
  <si>
    <t>ALMOND BUTTER SMOOTH</t>
  </si>
  <si>
    <t>CASHEW BUTTER (SMOOTH)</t>
  </si>
  <si>
    <t>LEMON PIE FILLING</t>
  </si>
  <si>
    <t>APPLE BUTTER UNSWEETENED</t>
  </si>
  <si>
    <t>SUNFLOWER SEED BUTTER NATURAL</t>
  </si>
  <si>
    <t>GINGER CHUNKS IN SYRUP</t>
  </si>
  <si>
    <t>MAR.WHOLE RED CHERRIES</t>
  </si>
  <si>
    <t>MAR. WHOLE GREEN CHERRIES</t>
  </si>
  <si>
    <t>MARA COCTAIL CHERRIES</t>
  </si>
  <si>
    <t>CUSTARD</t>
  </si>
  <si>
    <t>DULCE DE LECHE</t>
  </si>
  <si>
    <t>COCONUT CREME FILLING</t>
  </si>
  <si>
    <t>PECAN PEANUT BUTTER</t>
  </si>
  <si>
    <t>REAL CREAM CHEESE ICING</t>
  </si>
  <si>
    <t>WILD BIRD SEED</t>
  </si>
  <si>
    <t>SUNFLOWER SEED</t>
  </si>
  <si>
    <t>CHICK N'NUGGETS DOG BISCUITS</t>
  </si>
  <si>
    <t>GRAIN FREE TRKY MINI DOG BISC</t>
  </si>
  <si>
    <t>PIGEON MIX</t>
  </si>
  <si>
    <t>NYGER SEED</t>
  </si>
  <si>
    <t>COCKATIEL &amp; LOVEBIRD MIX</t>
  </si>
  <si>
    <t>RABBIT PELLET</t>
  </si>
  <si>
    <t>HAMSTER FEED</t>
  </si>
  <si>
    <t>GRAIN FREE SALMON MINI DOG BIS</t>
  </si>
  <si>
    <t>GR. FREE VEG&amp;FRT MINI DOG BISC</t>
  </si>
  <si>
    <t>ALL NAT.PEANUT BUTTR DOG BISC</t>
  </si>
  <si>
    <t>ALL NAT BF BASTE RAWHIDE CHIP</t>
  </si>
  <si>
    <t>PIG EAR PIECES</t>
  </si>
  <si>
    <t>PARROT MIX (PREMIUM)</t>
  </si>
  <si>
    <t>ALL NAT WHITE RAWHIDE CHIPS</t>
  </si>
  <si>
    <t>GRAIN FREE TURKEY LRG DOG BISC</t>
  </si>
  <si>
    <t>GRAIN FREE CHEESE LRG DOG BISC</t>
  </si>
  <si>
    <t>CHICKEN BREAST</t>
  </si>
  <si>
    <t>GRAIN FREE SKIN&amp;COAT MINI DOG</t>
  </si>
  <si>
    <t>GRAIN FREE BANANA MINI LOW CAL</t>
  </si>
  <si>
    <t>HADDOCK SKIN CHEWS</t>
  </si>
  <si>
    <t>ORG GRAIN FREE AP CIN DOG BISC</t>
  </si>
  <si>
    <t>GRAIN FREE MAPLE BACN DOG BISC</t>
  </si>
  <si>
    <t>CHICKEN SNAPS</t>
  </si>
  <si>
    <t>ALL NATURAL WHITE CHEW STICKS</t>
  </si>
  <si>
    <t>PIG EARS</t>
  </si>
  <si>
    <t>8" PIZZLES</t>
  </si>
  <si>
    <t>TARTAR BUSTER DOG BONES</t>
  </si>
  <si>
    <t>5" - 6" SMOKED RIBS</t>
  </si>
  <si>
    <t>12" SMOKED RIBS</t>
  </si>
  <si>
    <t>ALL NAT ELK ANTLR DNTL CHWS 6"</t>
  </si>
  <si>
    <t>SMOKEY BACON DENTAL CHEWS</t>
  </si>
  <si>
    <t>GREEN TEA LOOSE</t>
  </si>
  <si>
    <t>RED ROSE TEABAGS</t>
  </si>
  <si>
    <t>ICED TEA MIX</t>
  </si>
  <si>
    <t>WHOLE MILK POWDER</t>
  </si>
  <si>
    <t>NON INSTANT BUTTERMILK POWDER</t>
  </si>
  <si>
    <t>SOYA MILK POWDER</t>
  </si>
  <si>
    <t>MOROCCAN MINT GREEN TEA-LOOSE</t>
  </si>
  <si>
    <t>SUGAR PACKS</t>
  </si>
  <si>
    <t>SUGAR TWIN</t>
  </si>
  <si>
    <t>SWEET &amp; LOW</t>
  </si>
  <si>
    <t>HAZELNUT CREAM COFFEE</t>
  </si>
  <si>
    <t>SPICED EGGNOG COFFEE</t>
  </si>
  <si>
    <t>FRENCH VANILLA COFFEE</t>
  </si>
  <si>
    <t>BUTTER PECAN COFFEE</t>
  </si>
  <si>
    <t>OOLONG ORANGE TEA LOOSE</t>
  </si>
  <si>
    <t>GINSENG GREEN TEA LOOSE</t>
  </si>
  <si>
    <t>GERMAN CHOCO CAKE COFFE BEANS</t>
  </si>
  <si>
    <t>TROPICAL COCO MANGO OOLONG TEA</t>
  </si>
  <si>
    <t>PURE VIA STEVIA PACKETS</t>
  </si>
  <si>
    <t>SNICKER DOODLE COFFEE</t>
  </si>
  <si>
    <t>CHOCOLATE BUTTERCRUNCH COFFEE</t>
  </si>
  <si>
    <t>BANANA FOSTER COFFEE</t>
  </si>
  <si>
    <t>CARAMEL VANILLA LIQUEUR COFFEE</t>
  </si>
  <si>
    <t>TURTLE CLUSTERS COFFEE</t>
  </si>
  <si>
    <t>WHITE COCOA-NUT DREAM COFFEE</t>
  </si>
  <si>
    <t>TOFFEE BROWNIE EXPLOSION COFFE</t>
  </si>
  <si>
    <t>CHOCOLATE CHERRY COFFEE</t>
  </si>
  <si>
    <t>SANGRIA HIBISCUS LOOSE TEA</t>
  </si>
  <si>
    <t>GINGERBREAD COFFEE</t>
  </si>
  <si>
    <t>ORGANIC SENCHA GREEN TEA LOOSE</t>
  </si>
  <si>
    <t>PUMPKIN SPICE COFFEE</t>
  </si>
  <si>
    <t>PUMPKIN SPICE BRULEE OOLONG TE</t>
  </si>
  <si>
    <t>SPICED APPLE CIDER ROOIBOS TEA</t>
  </si>
  <si>
    <t>MACAROON RUFFLES</t>
  </si>
  <si>
    <t>MINI GINGER SNAPS</t>
  </si>
  <si>
    <t>ICE CREAM SANDWICH COOKIE</t>
  </si>
  <si>
    <t>BROWN BUTTER COOKIES</t>
  </si>
  <si>
    <t>WHITE CHOCOLATE FUDGE COOKIES</t>
  </si>
  <si>
    <t>PUMPKIN SPICE CREME COOKIES</t>
  </si>
  <si>
    <t>BIRTHDAY CAKE COOKIE</t>
  </si>
  <si>
    <t>CINNAMON SUGAR COOKIES</t>
  </si>
  <si>
    <t>LEMONADE LIGHTENING DRNK CRYS</t>
  </si>
  <si>
    <t>PEACH BLOSSOM DRINK CRYSTALS</t>
  </si>
  <si>
    <t>HOT APPLE CIDER DRNK CRYS</t>
  </si>
  <si>
    <t>PEPPERMINT HOT CHOCOLATE</t>
  </si>
  <si>
    <t>DRINK CRYSTALS (ALL VAR.)</t>
  </si>
  <si>
    <t>FRENCH VANILLA CAPPUCCINO MIX</t>
  </si>
  <si>
    <t>HOT CHOCOLATE POWDER</t>
  </si>
  <si>
    <t>SPELT FLAKES</t>
  </si>
  <si>
    <t>ORGANIC KASHA BUCKWHEAT TOASTD</t>
  </si>
  <si>
    <t>RYE FLAKES</t>
  </si>
  <si>
    <t>CORN MEAL YELLOW MWWI NON GMO</t>
  </si>
  <si>
    <t>CRANBERRY DELIGHT GRANOLA</t>
  </si>
  <si>
    <t>COCONUT MANGO GRANOLA</t>
  </si>
  <si>
    <t>CHEERIOS</t>
  </si>
  <si>
    <t>ORGANIC RED QUINOA</t>
  </si>
  <si>
    <t>ORGANIC KAMUT FLAKES</t>
  </si>
  <si>
    <t>WHEY PROTEIN POWDER/ISOLATE</t>
  </si>
  <si>
    <t>WHEAT GERM DARK TOASTED</t>
  </si>
  <si>
    <t>TRI COLOURED COUSCOUS</t>
  </si>
  <si>
    <t>PINK LEMONADE DRINK CRYSTALS</t>
  </si>
  <si>
    <t>ORG. PUFFED QUINOA  MWWI</t>
  </si>
  <si>
    <t>CHOC. WHEY PROTEIN ISOLATE 90%</t>
  </si>
  <si>
    <t>ORGANIC BUCKWHEAT GROATS</t>
  </si>
  <si>
    <t>ORGANIC FARRO</t>
  </si>
  <si>
    <t>ORGANIC PUMPKIN FLAX GRANOLA</t>
  </si>
  <si>
    <t>ORGANIC QUINOA FLAKES MWWI</t>
  </si>
  <si>
    <t>ORGANIC SUPER GREENS POWDER</t>
  </si>
  <si>
    <t>ORGANIC SUPER REDS POWDER</t>
  </si>
  <si>
    <t>ORGANIC VEGAN PROTEIN POWDER</t>
  </si>
  <si>
    <t>CRACKED GREENWHEAT FREEKEH</t>
  </si>
  <si>
    <t>TEFF WHOLE GRAIN MWWI</t>
  </si>
  <si>
    <t>CHAI LATTE GRANOLA</t>
  </si>
  <si>
    <t>MAPLE GREEK YOGURT GRANOLA</t>
  </si>
  <si>
    <t>CHOC CHERRY PISTACHIO GRANOLA</t>
  </si>
  <si>
    <t>CRANBERRY VAN MACAROON GRANOLA</t>
  </si>
  <si>
    <t>PEACH ICE TEA</t>
  </si>
  <si>
    <t>ICED FRENCH VAN CAPPUCCINO MIX</t>
  </si>
  <si>
    <t>ICED WHITE HOT CHOCOLATE MIX</t>
  </si>
  <si>
    <t>ICED HOT CHOCOLATE MIX</t>
  </si>
  <si>
    <t>ORGANIC KANIWA MWWI</t>
  </si>
  <si>
    <t>ON THE GO CAPPUCCINO MIX BEV</t>
  </si>
  <si>
    <t>VANILLA SMOOTHIE MIX</t>
  </si>
  <si>
    <t>RASPBERRY LEMONADE DRINK CRYST</t>
  </si>
  <si>
    <t>ORANGE CREAM DRINK CRYSTALS</t>
  </si>
  <si>
    <t>NANAIMO BAR HOT CHOCOLATE</t>
  </si>
  <si>
    <t>ORGANIC BARLEY FLAKES</t>
  </si>
  <si>
    <t>PUFFED BROWN RICE</t>
  </si>
  <si>
    <t>ENHANCED COLLAGEN PWDR NON GMO</t>
  </si>
  <si>
    <t>ORGANIC 4 GRASS BLEND POWDER</t>
  </si>
  <si>
    <t>ARBORIO RICE</t>
  </si>
  <si>
    <t>BROWN BASMATI RICE</t>
  </si>
  <si>
    <t>ORGANIC WILD RICE</t>
  </si>
  <si>
    <t>WILD &amp; BROWN RICE MIX</t>
  </si>
  <si>
    <t>ORGANIC BLACK RICE</t>
  </si>
  <si>
    <t>SUNDRIED TOMATOES JULIENNE STR</t>
  </si>
  <si>
    <t>READY CUT ELBOWS</t>
  </si>
  <si>
    <t>FUSILLI</t>
  </si>
  <si>
    <t>SMALL SHELLS</t>
  </si>
  <si>
    <t>ORZO PASTA</t>
  </si>
  <si>
    <t>SOUP NOODLES</t>
  </si>
  <si>
    <t>AZTEC BLEND</t>
  </si>
  <si>
    <t>ALL VEGETABLE FUSILLI</t>
  </si>
  <si>
    <t>ALL VEGETABLE  ELBOWS</t>
  </si>
  <si>
    <t>BROWN RICE SPAGHETTI MWWI</t>
  </si>
  <si>
    <t>BROWN RICE SHELLS MWWI</t>
  </si>
  <si>
    <t>PARMESAN CHEESE GRATED PURE</t>
  </si>
  <si>
    <t>TRI COLOUR TORTELLINI WITH CHS</t>
  </si>
  <si>
    <t>VEGETABLE PASTA BUG SHAPES</t>
  </si>
  <si>
    <t>INFUSED RICE - CHICKEN &amp; HERB</t>
  </si>
  <si>
    <t>INFUSED RICE - MEXICAN STYLE</t>
  </si>
  <si>
    <t>VEGETABLE PASTA SOCCER SHAPES</t>
  </si>
  <si>
    <t>VEGETABLE PASTA LOBSTER SHAPES</t>
  </si>
  <si>
    <t>ORGANIC RED LENTIL PENNE</t>
  </si>
  <si>
    <t>ORGANIC BLACK BEAN ROTINI</t>
  </si>
  <si>
    <t>ASIAGO CHEESE GRATED PURE</t>
  </si>
  <si>
    <t>ORGANIC CHICKPEA ROTINI MWWI</t>
  </si>
  <si>
    <t>ORGANIC PEA PENNE MWWI</t>
  </si>
  <si>
    <t>ORGANIC QUINOA MACARONI MWWI</t>
  </si>
  <si>
    <t>ORGANIC QUINOA FUSILLI MWWI</t>
  </si>
  <si>
    <t>ORGANIC AMARANTH PENNE MWWI</t>
  </si>
  <si>
    <t>PARMESAN CHEESE HERB &amp; SPICES</t>
  </si>
  <si>
    <t>ORG GRN LENTIL/KALE PENNE MWWI</t>
  </si>
  <si>
    <t>RAISINS LEXIA</t>
  </si>
  <si>
    <t>SKOR TOFFEE BITS</t>
  </si>
  <si>
    <t>ZANTE CURRANTS</t>
  </si>
  <si>
    <t>HONEY DATES PITTED</t>
  </si>
  <si>
    <t>DICED DATES DEXTROSE CTD</t>
  </si>
  <si>
    <t>ORGANIC APRICOTS</t>
  </si>
  <si>
    <t>BLACK MISSION FIGS</t>
  </si>
  <si>
    <t>DRIED MULBERRIES</t>
  </si>
  <si>
    <t>DRIED BLUEBERRIES</t>
  </si>
  <si>
    <t>DRIED TART CHERRIES</t>
  </si>
  <si>
    <t>DRIED MIX FRUIT/PRUNES</t>
  </si>
  <si>
    <t>SUN DRIED PEACHES</t>
  </si>
  <si>
    <t>SUN DRIED PEARS</t>
  </si>
  <si>
    <t>DRIED CANTALOUPE</t>
  </si>
  <si>
    <t>DELUXE FRUIT MIX</t>
  </si>
  <si>
    <t>KIWI SLICES</t>
  </si>
  <si>
    <t>ORANGE FLAVOURED CRANBERRIES</t>
  </si>
  <si>
    <t>POMEGRANATE FLAV.CRANBERRIES</t>
  </si>
  <si>
    <t>CITRON PEEL</t>
  </si>
  <si>
    <t>PINEAPPLE WEDGES GLAZED</t>
  </si>
  <si>
    <t>RASPBERRY FLAV CRANBERRIE</t>
  </si>
  <si>
    <t>COCONUT UNSWT. MAC FINE</t>
  </si>
  <si>
    <t>JUMBO COMPOUND CHIPS</t>
  </si>
  <si>
    <t>PEANUT BUTTER CHIPS</t>
  </si>
  <si>
    <t>CAROB CHIPS</t>
  </si>
  <si>
    <t>MILK CHOCOLATE COATING</t>
  </si>
  <si>
    <t>BITTERSWEET CHOCOLATE COATING</t>
  </si>
  <si>
    <t>CHOCOLATE COMPOUND CHIPS</t>
  </si>
  <si>
    <t>CHOCOLATE SQUARES SEMI SWEET</t>
  </si>
  <si>
    <t>MINT COMPOUND CHOCOLATE CHIPS</t>
  </si>
  <si>
    <t>BRAZILS WHOLE NATURAL</t>
  </si>
  <si>
    <t>WALNUT CRUMBS</t>
  </si>
  <si>
    <t>DRIED MANGO SLICES UNSWEETENED</t>
  </si>
  <si>
    <t>RAW MACADAMIA NUTS</t>
  </si>
  <si>
    <t>PINE NUTS PIGNOLIAS</t>
  </si>
  <si>
    <t>WHOLE ALMONDS BLANCHED</t>
  </si>
  <si>
    <t>PECAN MEAL</t>
  </si>
  <si>
    <t>WHITE CHOCOLATE SQUARES</t>
  </si>
  <si>
    <t>CINNAMON FLAVOURED BAKING CHIP</t>
  </si>
  <si>
    <t>GROUND WALNUTS NATURAL</t>
  </si>
  <si>
    <t>BELGIAN MILK CHOCOLATE WAFERS</t>
  </si>
  <si>
    <t>BELGIAN WHITE CHOCOLATE WAFERS</t>
  </si>
  <si>
    <t>BELCOLADE MILK  CHOC.WAFERS</t>
  </si>
  <si>
    <t>COMPOUND  DARK CHOCO WAFERS</t>
  </si>
  <si>
    <t>WHITE CONFECTIONARY COATING</t>
  </si>
  <si>
    <t>WHITE CHOCOLATE CHIPS</t>
  </si>
  <si>
    <t>MERCKENS BLUE MOLDING WAFERS</t>
  </si>
  <si>
    <t>M&amp;M MINIS SEMISWEET</t>
  </si>
  <si>
    <t>MERCKENS ORCHID MOLDING WAFERS</t>
  </si>
  <si>
    <t>MERCKENS PINK MOLDING WAFERS</t>
  </si>
  <si>
    <t>MERCKENS YELLOW MOLDING WAFERS</t>
  </si>
  <si>
    <t>ALPINE ORANGE MOLDING WAFERS</t>
  </si>
  <si>
    <t>MANGO FLAVOURED CRANBERRIES</t>
  </si>
  <si>
    <t>VANILLA HOLIDAY BAKING CHIPS</t>
  </si>
  <si>
    <t>TOASTED COCONUT FLAKES</t>
  </si>
  <si>
    <t>WHOLE CRANBERRIES ORGANIC</t>
  </si>
  <si>
    <t>ALPINE ROYAL BLUE MOLD.WAFER</t>
  </si>
  <si>
    <t>GREEK YOGURT BAKING CHIPS</t>
  </si>
  <si>
    <t>NSA DARK CHOC COATING W/STEVIA</t>
  </si>
  <si>
    <t>ORGANIC CHOC. COUVERTURES MILK</t>
  </si>
  <si>
    <t>ORGANIC CHOC COUVERTURES WHITE</t>
  </si>
  <si>
    <t>WILD BLUEBERRIES</t>
  </si>
  <si>
    <t>ORGANIC RAW CACAO NIBS</t>
  </si>
  <si>
    <t>PITTED TART APRICOTS</t>
  </si>
  <si>
    <t>SUNDRIED UNSW RAINIER CHERRIES</t>
  </si>
  <si>
    <t>SUNDRIED UNSWT BING CHERRIES</t>
  </si>
  <si>
    <t>CALLEBAUT MOLDING CALLET STRAW</t>
  </si>
  <si>
    <t>HERSHEY MINI REESE'S PIECES</t>
  </si>
  <si>
    <t>GREEN MINT COMP CHOC BKG CHIPS</t>
  </si>
  <si>
    <t>PECAN PUMPKIN SPICE DATE ROLLS</t>
  </si>
  <si>
    <t>CHOC. COVERED SUNFLOWER SEEDS</t>
  </si>
  <si>
    <t>CHICKEN BONES</t>
  </si>
  <si>
    <t>CANDY CORN</t>
  </si>
  <si>
    <t>MACK TOFFEE</t>
  </si>
  <si>
    <t>CHERRY SOURS</t>
  </si>
  <si>
    <t>MINI HEART JUBES</t>
  </si>
  <si>
    <t>CHOCOLATE SPORTS BALLS</t>
  </si>
  <si>
    <t>TREE &amp; SNOWMAN GUMMIES</t>
  </si>
  <si>
    <t>EGGNOG ALMONDS</t>
  </si>
  <si>
    <t>REESES PIECES PACK</t>
  </si>
  <si>
    <t>CHRISTMAS M&amp;M PEANUT CHOCOLATE</t>
  </si>
  <si>
    <t>ANDES CHOCOLATES</t>
  </si>
  <si>
    <t>TRIPLE HEART GUMMIES</t>
  </si>
  <si>
    <t>HALLOWEEN JUMBO GUMS</t>
  </si>
  <si>
    <t>TRICK OR TREAT JUBES</t>
  </si>
  <si>
    <t>SPRING FLOWER GUMMIE MIX</t>
  </si>
  <si>
    <t>CARAMEL CHOCOLATE HEARTS</t>
  </si>
  <si>
    <t>BUNNY FLOWER MIX</t>
  </si>
  <si>
    <t>CHOCOLATE PETITE EGGS</t>
  </si>
  <si>
    <t>PASTEL EASTER MINTS</t>
  </si>
  <si>
    <t>BUNNY MUNNY</t>
  </si>
  <si>
    <t>REESE'S JR.PEANUT BUTTER CUPS</t>
  </si>
  <si>
    <t>OH HENRY JR. BAR</t>
  </si>
  <si>
    <t>CARAMEL BUMPKINS</t>
  </si>
  <si>
    <t>CHRISTMAS CARAMEL BALLS</t>
  </si>
  <si>
    <t>SNICKERS FUN SIZE 13G</t>
  </si>
  <si>
    <t>VALENTINE HERSHEY HUGS</t>
  </si>
  <si>
    <t>FOIL WRAP CHOC. MINTS</t>
  </si>
  <si>
    <t>XMAS RED/GREEN SPICED DROPS</t>
  </si>
  <si>
    <t>CANDY CANE KISSES</t>
  </si>
  <si>
    <t>CHOC.CHERRY &amp; VAN.CREME DROPS</t>
  </si>
  <si>
    <t>CHRISTMAS RIBBON</t>
  </si>
  <si>
    <t>VALENTINE CUPID(CANDY)CORN</t>
  </si>
  <si>
    <t>VALENTINE CANDY HEARTS</t>
  </si>
  <si>
    <t>FROSTY'S FOREST CANDY</t>
  </si>
  <si>
    <t>EGG SHAPED GUM BALLS</t>
  </si>
  <si>
    <t>SANDED GUMMI BUNNIES</t>
  </si>
  <si>
    <t>EASTER ICE POPS</t>
  </si>
  <si>
    <t>MELLOCREME HARVEST MIX</t>
  </si>
  <si>
    <t>GUMBALL TUBE SLEEVES</t>
  </si>
  <si>
    <t>EASTER CANDY CORN</t>
  </si>
  <si>
    <t>MAPLE SYRUP CANDIES</t>
  </si>
  <si>
    <t>HEART POPS</t>
  </si>
  <si>
    <t>RED &amp; WHITE GUMMI BEARS</t>
  </si>
  <si>
    <t>CHOC. COVERED MARSH. BUNNIES</t>
  </si>
  <si>
    <t>GOURMET PEANUT BRITTLE</t>
  </si>
  <si>
    <t>SNOWBALLS</t>
  </si>
  <si>
    <t>VAL. FRUIT JUICY GUMMY HEARTS</t>
  </si>
  <si>
    <t>VALENTINE MELLOCREME MIX</t>
  </si>
  <si>
    <t>CONVERSATION HEART SWT'N SOUR</t>
  </si>
  <si>
    <t>LOVE DUSTED GUMMI HEARTS</t>
  </si>
  <si>
    <t>MILK CHOCOLATE FOIL BUNNIES</t>
  </si>
  <si>
    <t>EASTER SMARTIES</t>
  </si>
  <si>
    <t>SML CONVERSATION HRT</t>
  </si>
  <si>
    <t>SKULL &amp; CROSSBONE GUMMIES</t>
  </si>
  <si>
    <t>VALENTINE SMARTIES RED &amp; PINK</t>
  </si>
  <si>
    <t>CINNAMON HEARTS</t>
  </si>
  <si>
    <t>MARSHMALLOW STRAWBERRY HEARTS</t>
  </si>
  <si>
    <t>VALENTINE JELLY BEANS</t>
  </si>
  <si>
    <t>CHERRY JELLY HEARTS</t>
  </si>
  <si>
    <t>JUBE HEARTS</t>
  </si>
  <si>
    <t>MILK CHOCOLATE FOIL HEARTS</t>
  </si>
  <si>
    <t>PEANUT BUTTER HEARTS</t>
  </si>
  <si>
    <t>HERSHEY VALENTINE KISS</t>
  </si>
  <si>
    <t>CARAMEL HEARTS</t>
  </si>
  <si>
    <t>STE CATHERINE KISSES</t>
  </si>
  <si>
    <t>CARAMEL EGGS</t>
  </si>
  <si>
    <t>JUST HATCHED JUBES</t>
  </si>
  <si>
    <t>JUBE BUNNIES</t>
  </si>
  <si>
    <t>JELLY BEAN EGGS</t>
  </si>
  <si>
    <t>ASSORTED PANNED EGGS</t>
  </si>
  <si>
    <t>FOIL WRAPPED EGGS</t>
  </si>
  <si>
    <t>PEANUT BUTTER EGGS</t>
  </si>
  <si>
    <t>MINI MALTED EGGS</t>
  </si>
  <si>
    <t>MARSHMALLOW RABBITS</t>
  </si>
  <si>
    <t>EASTER KISSES</t>
  </si>
  <si>
    <t>MILK CHOCOLATE SPIDERS</t>
  </si>
  <si>
    <t>PUMPKIN FACE GUMBALLS</t>
  </si>
  <si>
    <t>GUMMI RABBITS</t>
  </si>
  <si>
    <t>CARAMEL CHOCOLATE BUNNY</t>
  </si>
  <si>
    <t>MILK CHOCOLATE EASTER SHAPES</t>
  </si>
  <si>
    <t>MONSTER MUNNY</t>
  </si>
  <si>
    <t>CHOC COVERED MM FESTIVE TREATS</t>
  </si>
  <si>
    <t>HALLOWEEN KISSES</t>
  </si>
  <si>
    <t>SPOOKY EYES GUMBALLS</t>
  </si>
  <si>
    <t>HALLOWEEN JELLY BEANS</t>
  </si>
  <si>
    <t>MELLOCREME PUMPKINS</t>
  </si>
  <si>
    <t>CARAMEL CHOCOLATE BEETLES</t>
  </si>
  <si>
    <t>HALLOWEEN GUMMI PUMPKINS</t>
  </si>
  <si>
    <t>SKULL HEADS</t>
  </si>
  <si>
    <t>HALLOWEEN GUMMI WORMS</t>
  </si>
  <si>
    <t>CHRISTMAS PEANUT BUTTER BALLS</t>
  </si>
  <si>
    <t>MILK CHOCOLATE PUMPKIN BALLS</t>
  </si>
  <si>
    <t>CREAMY CARAMELS</t>
  </si>
  <si>
    <t>HERSHEY COOKIES N' CREME</t>
  </si>
  <si>
    <t>CHRISTMAS SATIN MIX</t>
  </si>
  <si>
    <t>HOLLY BERRIES</t>
  </si>
  <si>
    <t>CHRISTMAS JELLY BEANS</t>
  </si>
  <si>
    <t>HERSHEY CHRISTMAS KISSES</t>
  </si>
  <si>
    <t>WHITE CHRISTMAS MINTS</t>
  </si>
  <si>
    <t>SANTA FACE JUBES</t>
  </si>
  <si>
    <t>VALENTINE HEART TRUFFLES</t>
  </si>
  <si>
    <t>REINDEER TREATS</t>
  </si>
  <si>
    <t>MILK CHOCOLATE CHRISTMAS BALLS</t>
  </si>
  <si>
    <t>BULK MINI CANDY CANES</t>
  </si>
  <si>
    <t>JUMBO YULETIDE GUMS</t>
  </si>
  <si>
    <t>HERSHEY NUGGET W ALMONDS&amp;TOFFE</t>
  </si>
  <si>
    <t>NESTLE CHRISTMAS SMARTIES</t>
  </si>
  <si>
    <t>JINGLE BELL ROCK</t>
  </si>
  <si>
    <t>CHRISTMAS STARLIGHT MINT</t>
  </si>
  <si>
    <t>HERSHEY CARAMEL KISSES</t>
  </si>
  <si>
    <t>MINIATURE SATIN MIX</t>
  </si>
  <si>
    <t>JUICY LIP GUMMIES</t>
  </si>
  <si>
    <t>CHRISTMAS M&amp;M PLAIN CHOC CANDY</t>
  </si>
  <si>
    <t>XMAS WRAPD CARAMEL FILLED CHOC</t>
  </si>
  <si>
    <t>HOLLY TRUFFLES</t>
  </si>
  <si>
    <t>CANDY CANE SALT WATER TAFFY</t>
  </si>
  <si>
    <t>MINI CHRISTMAS RIBBON</t>
  </si>
  <si>
    <t>HAPPY HEARTS</t>
  </si>
  <si>
    <t>STRAWBERRY &amp; CREME HEART POPS</t>
  </si>
  <si>
    <t>M&amp;M'S SPECKLED EGGS</t>
  </si>
  <si>
    <t>MINI PASTEL EASTER MINTS</t>
  </si>
  <si>
    <t>EASTER TRUFFLE BUNNIES</t>
  </si>
  <si>
    <t>HALLOWEEN ASST MINI CHOC BARS</t>
  </si>
  <si>
    <t>ZOMBIES</t>
  </si>
  <si>
    <t>SCARY SMARTIES</t>
  </si>
  <si>
    <t>WHITE CHRISTMAS MINI MINTS</t>
  </si>
  <si>
    <t>JUICY CHRISTMAS WREATH GUMMIES</t>
  </si>
  <si>
    <t>MILK CHOCOLATE SANTA FACES</t>
  </si>
  <si>
    <t>CHRISTMAS EGGIES</t>
  </si>
  <si>
    <t>SOUR STARS</t>
  </si>
  <si>
    <t>CHERRY LOVERS</t>
  </si>
  <si>
    <t>SOUR LIPS</t>
  </si>
  <si>
    <t>CANADA DAY MILK CHOC. BALLS</t>
  </si>
  <si>
    <t>SILVER CONFETTI</t>
  </si>
  <si>
    <t>SPOOKY YOGURT FROSTED PRETZELS</t>
  </si>
  <si>
    <t>JELLY PUMPKINS</t>
  </si>
  <si>
    <t>PEANUT BUTTER CREEPY PEEPERS</t>
  </si>
  <si>
    <t>BERRY BLENDER SOUR LOLLIPOPS</t>
  </si>
  <si>
    <t>GOURMET COCONUT BRITTLE</t>
  </si>
  <si>
    <t>OLD FASHION FRENCH CREMES</t>
  </si>
  <si>
    <t>MILK CHOC MM SPOOKY TREATS</t>
  </si>
  <si>
    <t>CHRISMTAS MILK CHOC. YUMMIES</t>
  </si>
  <si>
    <t>CONVERSATION SALT WATER TAFFY</t>
  </si>
  <si>
    <t>GOURMET STRAW&amp; CREAM LOLLIPOPS</t>
  </si>
  <si>
    <t>VALENTINE MILK CHOC. YUMMIES</t>
  </si>
  <si>
    <t>MILK CHOC. MARSHMALLOW HEARTS</t>
  </si>
  <si>
    <t>MILK CHOCOLATE HEARTS</t>
  </si>
  <si>
    <t>RASPBERRY HEART JELLIES</t>
  </si>
  <si>
    <t>STRAWBERRY PUFF GUMMIES</t>
  </si>
  <si>
    <t>EASTER LOLLIPOPS</t>
  </si>
  <si>
    <t>BUNNY KISSES SALT WATER TAFFY</t>
  </si>
  <si>
    <t>SWEET N' SOUR EGGS</t>
  </si>
  <si>
    <t>MILK CHOC MARSHMALLOW EGG</t>
  </si>
  <si>
    <t>MAPLE TOFFEE</t>
  </si>
  <si>
    <t>MIKE &amp; IKE BERRY BLAST</t>
  </si>
  <si>
    <t>MIKE &amp; IKE TROPICAL TYPHOON</t>
  </si>
  <si>
    <t>ORANGE CONFETTI</t>
  </si>
  <si>
    <t>JUICY UNDER THE SEA GUMMIES</t>
  </si>
  <si>
    <t>EXTREME SOUR SHARKS</t>
  </si>
  <si>
    <t>PINK HEART SHAPED CONFETTI</t>
  </si>
  <si>
    <t>BLUE HEART SHAPED CONFETTI</t>
  </si>
  <si>
    <t>CHOCOLATEY BODY PARTS</t>
  </si>
  <si>
    <t>EYE SCREAM SANDWITCHES</t>
  </si>
  <si>
    <t>PEANUT BUTTER PUMPKIN CUPS</t>
  </si>
  <si>
    <t>WITCHES WARTS SOUR CHEWS</t>
  </si>
  <si>
    <t>SOUR PUMPKIN JUBES</t>
  </si>
  <si>
    <t>EYEBALL LOLLIPOPS</t>
  </si>
  <si>
    <t>JUICY HEART GUMMIES</t>
  </si>
  <si>
    <t>CUPID LOVE DROPS</t>
  </si>
  <si>
    <t>COOKIES N' CREAM HEARTS</t>
  </si>
  <si>
    <t>SANTA'S HELPERS</t>
  </si>
  <si>
    <t>MIKE &amp; IKE MERRY MIX</t>
  </si>
  <si>
    <t>GUMMI CARROTS</t>
  </si>
  <si>
    <t>CHOCOLATE FOIL BUNNY EARS</t>
  </si>
  <si>
    <t>CHOCOLATE FOIL CARROTS</t>
  </si>
  <si>
    <t>COOKIES N' CREAM EGGS</t>
  </si>
  <si>
    <t>BUNNY MIX</t>
  </si>
  <si>
    <t>MIKE &amp; IKE EASTER TREATS</t>
  </si>
  <si>
    <t>REESE'S JR. PIECES</t>
  </si>
  <si>
    <t>HERSHEY ALMOND JR. BAR</t>
  </si>
  <si>
    <t>REESE'S PIECES EGGS</t>
  </si>
  <si>
    <t>HOPPY HUNT WRAPPED BUNNIES</t>
  </si>
  <si>
    <t>PEARLIZED GUMBALLS</t>
  </si>
  <si>
    <t>SWIRL GUMMI BEARS</t>
  </si>
  <si>
    <t>SOUR BUBBLE GUM LOLLIPOPS</t>
  </si>
  <si>
    <t>FRUIT STAND GUMBALLS</t>
  </si>
  <si>
    <t>SPOOKTACULAR GUMMI MIX</t>
  </si>
  <si>
    <t>BLACK LICORICE CATS</t>
  </si>
  <si>
    <t>PUMPKIN PALS</t>
  </si>
  <si>
    <t>MONSTER CRUNCH</t>
  </si>
  <si>
    <t>SNOWFLAKE GUMMIES</t>
  </si>
  <si>
    <t>GINGERBREAD MEN GUMMIES</t>
  </si>
  <si>
    <t>ELF GUMMIES</t>
  </si>
  <si>
    <t>HOLIDAY LOLLIPOPS</t>
  </si>
  <si>
    <t>DECKED OUT BRITTLE SUPREME</t>
  </si>
  <si>
    <t>NAUGHTY CHRISTMAS COAL</t>
  </si>
  <si>
    <t>CHRISTMAS M&amp;M MINT CHOC CANDY</t>
  </si>
  <si>
    <t>UGLY SWEATERS CHOCOLATE</t>
  </si>
  <si>
    <t>FESTIVE LIGHTS CHOCOLATE</t>
  </si>
  <si>
    <t>REESE'S BELLS</t>
  </si>
  <si>
    <t>DARK CHOC SEA SLT CARAMELS 50%</t>
  </si>
  <si>
    <t>WARHEAD MINI CANDY CANES</t>
  </si>
  <si>
    <t>HUGS &amp; KISSES GUMMIES</t>
  </si>
  <si>
    <t>LOVESORTS STRAWBERRY N' CREME</t>
  </si>
  <si>
    <t>VALENTINE ROCK CANDY</t>
  </si>
  <si>
    <t>LOVELY CHOCOLATE LADYBUGS</t>
  </si>
  <si>
    <t>GUMMI EGGSTRAVAGANT</t>
  </si>
  <si>
    <t>REESE'S PEANUT BUTTER EGGS</t>
  </si>
  <si>
    <t>PEARLIZED CHOCOLATE ALMONDS</t>
  </si>
  <si>
    <t>EASTER MILK CHOC YUMMIES</t>
  </si>
  <si>
    <t>BON BONS WATERMELON</t>
  </si>
  <si>
    <t>REESE'S SANTAS</t>
  </si>
  <si>
    <t>HERSHEY COOKIES N' CRM TMBSTNS</t>
  </si>
  <si>
    <t>JUICY HALLOWEEN GUMMI MIX</t>
  </si>
  <si>
    <t>SOUR PUMPKINS</t>
  </si>
  <si>
    <t>TARANTULA GUMMIES</t>
  </si>
  <si>
    <t>JELLY BELLY ICICLE MIX</t>
  </si>
  <si>
    <t>GUMMI CANDY CANES</t>
  </si>
  <si>
    <t>FOIL SANTAS</t>
  </si>
  <si>
    <t>DOUBLE CRISP COAL</t>
  </si>
  <si>
    <t>GIANT SNOWMAN GUMMIES</t>
  </si>
  <si>
    <t>SOUR CHERRY HEARTS</t>
  </si>
  <si>
    <t>SOUR JELLY HEARTS</t>
  </si>
  <si>
    <t>HEARTOONS CHOCOLATE</t>
  </si>
  <si>
    <t>JELLY BELLY JEWEL VAL MIX</t>
  </si>
  <si>
    <t>PREM WRAP MLK CH &amp; SEA SLT CAR</t>
  </si>
  <si>
    <t>BIG HEART GUMMIES</t>
  </si>
  <si>
    <t>JELLY BELLY JEWEL EASTER MIX</t>
  </si>
  <si>
    <t>PEARLIZED GUMBALL EGGS</t>
  </si>
  <si>
    <t>MILK CHOCOLATE EGGS</t>
  </si>
  <si>
    <t>GEMMIES</t>
  </si>
  <si>
    <t>SWEET N' SOUR EASTER MIX</t>
  </si>
  <si>
    <t>GIANT BUNNY GUMMIES</t>
  </si>
  <si>
    <t>Tubs</t>
  </si>
  <si>
    <t>Saybon, Stick &amp; Rock Candy</t>
  </si>
  <si>
    <t>Mixed Nuts w/ Macadamia, Peri Peri Flavoured</t>
  </si>
  <si>
    <t>Callebaut Callets - Dark Chocolate</t>
  </si>
  <si>
    <t>Callebaut Callets - Milk Chocolate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</si>
</sst>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20"/>
      <color theme="1"/>
      <name val="Berlin Sans FB"/>
      <family val="2"/>
    </font>
    <font>
      <sz val="16"/>
      <color theme="1"/>
      <name val="Berlin Sans FB"/>
      <family val="2"/>
    </font>
    <font>
      <u/>
      <sz val="20"/>
      <color theme="1"/>
      <name val="Berlin Sans FB"/>
      <family val="2"/>
    </font>
    <font>
      <sz val="9.85"/>
      <name val="Times New Roman"/>
      <family val="1"/>
    </font>
    <font>
      <sz val="9"/>
      <name val="Arial"/>
      <family val="2"/>
    </font>
    <font>
      <sz val="11"/>
      <name val="Calibri"/>
      <family val="2"/>
      <scheme val="minor"/>
    </font>
    <font>
      <u/>
      <sz val="36"/>
      <color theme="1"/>
      <name val="Berlin Sans FB"/>
      <family val="2"/>
    </font>
    <font>
      <u/>
      <sz val="28"/>
      <color theme="1"/>
      <name val="Berlin Sans FB"/>
      <family val="2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/>
    <xf numFmtId="0" fontId="3" fillId="0" borderId="0" xfId="0" applyFont="1" applyAlignment="1">
      <alignment vertical="center"/>
    </xf>
    <xf numFmtId="0" fontId="4" fillId="0" borderId="0" xfId="0" applyNumberFormat="1" applyFont="1" applyProtection="1">
      <protection locked="0"/>
    </xf>
    <xf numFmtId="4" fontId="0" fillId="0" borderId="0" xfId="0" applyNumberFormat="1" applyProtection="1">
      <protection locked="0"/>
    </xf>
    <xf numFmtId="0" fontId="4" fillId="0" borderId="0" xfId="0" applyNumberFormat="1" applyFont="1" applyAlignment="1" applyProtection="1">
      <alignment horizontal="left"/>
      <protection locked="0"/>
    </xf>
    <xf numFmtId="0" fontId="0" fillId="0" borderId="0" xfId="0" applyNumberFormat="1" applyAlignment="1" applyProtection="1">
      <alignment horizontal="right"/>
      <protection locked="0"/>
    </xf>
    <xf numFmtId="0" fontId="5" fillId="0" borderId="0" xfId="0" applyFont="1" applyAlignment="1">
      <alignment horizontal="center"/>
    </xf>
    <xf numFmtId="0" fontId="5" fillId="0" borderId="0" xfId="0" applyNumberFormat="1" applyFont="1" applyAlignment="1" applyProtection="1">
      <alignment horizontal="left"/>
      <protection locked="0"/>
    </xf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NumberFormat="1" applyFont="1" applyProtection="1">
      <protection locked="0"/>
    </xf>
    <xf numFmtId="164" fontId="5" fillId="0" borderId="0" xfId="0" applyNumberFormat="1" applyFont="1" applyProtection="1">
      <protection locked="0"/>
    </xf>
    <xf numFmtId="0" fontId="0" fillId="0" borderId="1" xfId="0" applyBorder="1" applyAlignment="1">
      <alignment horizontal="left"/>
    </xf>
    <xf numFmtId="0" fontId="0" fillId="0" borderId="0" xfId="0" applyNumberFormat="1" applyProtection="1">
      <protection locked="0"/>
    </xf>
    <xf numFmtId="0" fontId="0" fillId="0" borderId="0" xfId="0" applyNumberFormat="1" applyAlignment="1" applyProtection="1">
      <alignment horizontal="left"/>
      <protection locked="0"/>
    </xf>
    <xf numFmtId="0" fontId="0" fillId="0" borderId="0" xfId="0" applyAlignment="1">
      <alignment horizontal="left"/>
    </xf>
    <xf numFmtId="14" fontId="5" fillId="0" borderId="0" xfId="0" applyNumberFormat="1" applyFont="1"/>
    <xf numFmtId="164" fontId="5" fillId="0" borderId="0" xfId="0" applyNumberFormat="1" applyFont="1"/>
    <xf numFmtId="0" fontId="5" fillId="0" borderId="0" xfId="0" applyNumberFormat="1" applyFont="1" applyAlignment="1" applyProtection="1">
      <alignment horizontal="right"/>
      <protection locked="0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0" fontId="6" fillId="0" borderId="0" xfId="0" applyFont="1" applyBorder="1" applyAlignment="1">
      <alignment vertical="center" wrapText="1"/>
    </xf>
    <xf numFmtId="0" fontId="6" fillId="0" borderId="0" xfId="0" applyFont="1"/>
    <xf numFmtId="0" fontId="0" fillId="0" borderId="0" xfId="0" applyBorder="1" applyAlignment="1">
      <alignment horizontal="left"/>
    </xf>
    <xf numFmtId="0" fontId="7" fillId="0" borderId="0" xfId="0" applyFont="1" applyAlignment="1">
      <alignment vertical="center"/>
    </xf>
    <xf numFmtId="0" fontId="0" fillId="0" borderId="3" xfId="0" applyBorder="1" applyAlignment="1">
      <alignment horizontal="left"/>
    </xf>
    <xf numFmtId="0" fontId="0" fillId="0" borderId="4" xfId="0" applyFill="1" applyBorder="1" applyAlignment="1">
      <alignment horizontal="left"/>
    </xf>
    <xf numFmtId="0" fontId="6" fillId="0" borderId="0" xfId="0" applyFont="1" applyFill="1" applyBorder="1" applyAlignment="1">
      <alignment vertical="center" wrapText="1"/>
    </xf>
    <xf numFmtId="0" fontId="0" fillId="0" borderId="1" xfId="0" quotePrefix="1" applyBorder="1" applyAlignment="1">
      <alignment horizontal="left"/>
    </xf>
    <xf numFmtId="0" fontId="8" fillId="0" borderId="0" xfId="0" applyFont="1" applyAlignment="1">
      <alignment vertical="center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>
      <alignment horizontal="left"/>
    </xf>
    <xf numFmtId="0" fontId="9" fillId="0" borderId="1" xfId="0" applyFont="1" applyBorder="1" applyAlignment="1" applyProtection="1">
      <alignment horizontal="right"/>
      <protection locked="0"/>
    </xf>
    <xf numFmtId="0" fontId="9" fillId="0" borderId="1" xfId="0" quotePrefix="1" applyFont="1" applyBorder="1" applyAlignment="1">
      <alignment horizontal="left"/>
    </xf>
    <xf numFmtId="0" fontId="8" fillId="0" borderId="0" xfId="0" applyFont="1"/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/>
    <xf numFmtId="0" fontId="3" fillId="0" borderId="0" xfId="0" applyFont="1" applyBorder="1" applyAlignment="1">
      <alignment vertical="center"/>
    </xf>
    <xf numFmtId="0" fontId="0" fillId="0" borderId="0" xfId="0" applyBorder="1" applyProtection="1">
      <protection locked="0"/>
    </xf>
    <xf numFmtId="0" fontId="2" fillId="0" borderId="2" xfId="0" applyFont="1" applyBorder="1" applyAlignment="1"/>
    <xf numFmtId="0" fontId="2" fillId="0" borderId="2" xfId="0" applyFont="1" applyBorder="1" applyAlignment="1">
      <alignment horizontal="center"/>
    </xf>
    <xf numFmtId="0" fontId="0" fillId="0" borderId="0" xfId="0" applyBorder="1" applyAlignment="1" applyProtection="1">
      <alignment wrapText="1"/>
      <protection locked="0"/>
    </xf>
    <xf numFmtId="0" fontId="0" fillId="0" borderId="1" xfId="0" applyBorder="1" applyProtection="1"/>
    <xf numFmtId="0" fontId="0" fillId="0" borderId="1" xfId="0" applyBorder="1" applyAlignment="1" applyProtection="1">
      <alignment horizontal="right"/>
    </xf>
    <xf numFmtId="0" fontId="0" fillId="0" borderId="3" xfId="0" applyBorder="1" applyProtection="1"/>
    <xf numFmtId="0" fontId="0" fillId="0" borderId="3" xfId="0" applyBorder="1" applyAlignment="1" applyProtection="1">
      <alignment horizontal="right"/>
    </xf>
    <xf numFmtId="0" fontId="10" fillId="0" borderId="1" xfId="0" applyFont="1" applyBorder="1" applyProtection="1"/>
    <xf numFmtId="0" fontId="11" fillId="0" borderId="1" xfId="0" applyFont="1" applyBorder="1" applyProtection="1"/>
    <xf numFmtId="0" fontId="7" fillId="0" borderId="0" xfId="0" applyFont="1" applyBorder="1" applyAlignment="1">
      <alignment horizontal="left" vertical="center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7"/>
  <sheetViews>
    <sheetView workbookViewId="0">
      <selection activeCell="E6" sqref="E6"/>
    </sheetView>
  </sheetViews>
  <sheetFormatPr defaultRowHeight="15" x14ac:dyDescent="0.25"/>
  <cols>
    <col min="1" max="1" width="7.5703125" customWidth="1"/>
    <col min="2" max="2" width="31.28515625" customWidth="1"/>
    <col min="3" max="3" width="7" customWidth="1"/>
    <col min="4" max="4" width="4.7109375" customWidth="1"/>
    <col min="6" max="6" width="31.42578125" customWidth="1"/>
    <col min="7" max="7" width="7.85546875" customWidth="1"/>
  </cols>
  <sheetData>
    <row r="1" spans="1:13" ht="24.75" x14ac:dyDescent="0.25">
      <c r="A1" s="4" t="s">
        <v>1036</v>
      </c>
      <c r="B1" s="2"/>
      <c r="C1" s="2"/>
      <c r="D1" s="2"/>
      <c r="E1" s="4" t="s">
        <v>1037</v>
      </c>
      <c r="F1" s="3"/>
      <c r="G1" s="3"/>
      <c r="I1" s="44"/>
      <c r="J1" s="3"/>
      <c r="K1" s="3"/>
      <c r="L1" s="3"/>
      <c r="M1" s="3"/>
    </row>
    <row r="2" spans="1:13" ht="16.5" customHeight="1" x14ac:dyDescent="0.25">
      <c r="A2" s="1"/>
      <c r="I2" s="3"/>
      <c r="J2" s="3"/>
      <c r="K2" s="3"/>
      <c r="L2" s="3"/>
      <c r="M2" s="3"/>
    </row>
    <row r="3" spans="1:13" ht="20.25" thickBot="1" x14ac:dyDescent="0.3">
      <c r="A3" s="22" t="s">
        <v>861</v>
      </c>
      <c r="B3" s="23" t="s">
        <v>919</v>
      </c>
      <c r="C3" s="24" t="s">
        <v>0</v>
      </c>
      <c r="E3" s="22" t="s">
        <v>861</v>
      </c>
      <c r="F3" s="23" t="s">
        <v>919</v>
      </c>
      <c r="G3" s="24" t="s">
        <v>0</v>
      </c>
      <c r="I3" s="41"/>
      <c r="J3" s="42"/>
      <c r="K3" s="43"/>
      <c r="L3" s="3"/>
      <c r="M3" s="3"/>
    </row>
    <row r="4" spans="1:13" x14ac:dyDescent="0.25">
      <c r="A4" s="3"/>
      <c r="B4" s="3"/>
      <c r="C4" s="3"/>
      <c r="I4" s="3"/>
      <c r="J4" s="3"/>
      <c r="K4" s="3"/>
      <c r="L4" s="3"/>
      <c r="M4" s="3"/>
    </row>
    <row r="5" spans="1:13" x14ac:dyDescent="0.25">
      <c r="A5" s="15">
        <v>1126</v>
      </c>
      <c r="B5" s="49" t="str">
        <f>IFERROR(VLOOKUP(A5,'BRI Insert'!A:C,3,FALSE),(VLOOKUP(A5,'Product Names BRI'!A:B,2,FALSE)))</f>
        <v>ALL NAT.MINI BREATH BEATERS</v>
      </c>
      <c r="C5" s="50">
        <f>IFERROR(VLOOKUP(A5,'BRI Insert'!A:D,4,FALSE),MISC!A1)</f>
        <v>0</v>
      </c>
      <c r="E5" s="15">
        <v>75</v>
      </c>
      <c r="F5" s="49" t="str">
        <f>IFERROR(VLOOKUP(E5,'BRI Insert'!A:C,3,FALSE),(VLOOKUP(E5,'Product Names BRI'!A:B,2,FALSE)))</f>
        <v>PAPAYA CHUNKS</v>
      </c>
      <c r="G5" s="49">
        <f>IFERROR(VLOOKUP(E5,'BRI Insert'!A:D,4,FALSE),MISC!A1)</f>
        <v>0</v>
      </c>
      <c r="I5" s="29"/>
      <c r="J5" s="45"/>
      <c r="K5" s="45"/>
      <c r="L5" s="3"/>
      <c r="M5" s="3"/>
    </row>
    <row r="6" spans="1:13" x14ac:dyDescent="0.25">
      <c r="A6" s="15">
        <v>1128</v>
      </c>
      <c r="B6" s="49" t="str">
        <f>IFERROR(VLOOKUP(A6,'BRI Insert'!A:C,3,FALSE),(VLOOKUP(A6,'Product Names BRI'!A:B,2,FALSE)))</f>
        <v>PREMIUM WILD BIRD MIX</v>
      </c>
      <c r="C6" s="50">
        <f>IFERROR(VLOOKUP(A6,'BRI Insert'!A:D,4,FALSE),MISC!A2)</f>
        <v>1.5</v>
      </c>
      <c r="E6" s="15">
        <v>77</v>
      </c>
      <c r="F6" s="49" t="str">
        <f>IFERROR(VLOOKUP(E6,'BRI Insert'!A:C,3,FALSE),(VLOOKUP(E6,'Product Names BRI'!A:B,2,FALSE)))</f>
        <v>CRYSTALLIZED GINGER SLICES</v>
      </c>
      <c r="G6" s="49">
        <f>IFERROR(VLOOKUP(E6,'BRI Insert'!A:D,4,FALSE),MISC!A2)</f>
        <v>0.25</v>
      </c>
      <c r="I6" s="29"/>
      <c r="J6" s="45"/>
      <c r="K6" s="45"/>
      <c r="L6" s="3"/>
      <c r="M6" s="3"/>
    </row>
    <row r="7" spans="1:13" x14ac:dyDescent="0.25">
      <c r="A7" s="15">
        <v>1129</v>
      </c>
      <c r="B7" s="49" t="str">
        <f>IFERROR(VLOOKUP(A7,'BRI Insert'!A:C,3,FALSE),(VLOOKUP(A7,'Product Names BRI'!A:B,2,FALSE)))</f>
        <v>OUTDOOR SONG BIRD MIX</v>
      </c>
      <c r="C7" s="50">
        <f>IFERROR(VLOOKUP(A7,'BRI Insert'!A:D,4,FALSE),MISC!A3)</f>
        <v>0</v>
      </c>
      <c r="E7" s="15">
        <v>78</v>
      </c>
      <c r="F7" s="49" t="str">
        <f>IFERROR(VLOOKUP(E7,'BRI Insert'!A:C,3,FALSE),(VLOOKUP(E7,'Product Names BRI'!A:B,2,FALSE)))</f>
        <v>PINEAPPLE WEDGES DRIED</v>
      </c>
      <c r="G7" s="49">
        <f>IFERROR(VLOOKUP(E7,'BRI Insert'!A:D,4,FALSE),MISC!A3)</f>
        <v>0.5</v>
      </c>
      <c r="I7" s="29"/>
      <c r="J7" s="45"/>
      <c r="K7" s="45"/>
      <c r="L7" s="3"/>
      <c r="M7" s="3"/>
    </row>
    <row r="8" spans="1:13" x14ac:dyDescent="0.25">
      <c r="A8" s="15">
        <v>1132</v>
      </c>
      <c r="B8" s="49" t="str">
        <f>IFERROR(VLOOKUP(A8,'BRI Insert'!A:C,3,FALSE),(VLOOKUP(A8,'Product Names BRI'!A:B,2,FALSE)))</f>
        <v>BUDGIE MIX</v>
      </c>
      <c r="C8" s="50">
        <f>IFERROR(VLOOKUP(A8,'BRI Insert'!A:D,4,FALSE),MISC!A6)</f>
        <v>0.75</v>
      </c>
      <c r="E8" s="15">
        <v>1038</v>
      </c>
      <c r="F8" s="49" t="str">
        <f>IFERROR(VLOOKUP(E8,'BRI Insert'!A:C,3,FALSE),(VLOOKUP(E8,'Product Names BRI'!A:B,2,FALSE)))</f>
        <v>GINGER CHUNKS, IN SYRUP</v>
      </c>
      <c r="G8" s="49">
        <f>IFERROR(VLOOKUP(E8,'BRI Insert'!A:D,4,FALSE),MISC!A4)</f>
        <v>0</v>
      </c>
      <c r="I8" s="29"/>
      <c r="J8" s="45"/>
      <c r="K8" s="45"/>
      <c r="L8" s="3"/>
      <c r="M8" s="3"/>
    </row>
    <row r="9" spans="1:13" x14ac:dyDescent="0.25">
      <c r="A9" s="15">
        <v>1134</v>
      </c>
      <c r="B9" s="49" t="str">
        <f>IFERROR(VLOOKUP(A9,'BRI Insert'!A:C,3,FALSE),(VLOOKUP(A9,'Product Names BRI'!A:B,2,FALSE)))</f>
        <v>CHICK 'N NUGGET DOG BISCUITS</v>
      </c>
      <c r="C9" s="50">
        <f>IFERROR(VLOOKUP(A9,'BRI Insert'!A:D,4,FALSE),MISC!A7)</f>
        <v>0</v>
      </c>
      <c r="E9" s="15">
        <v>1701</v>
      </c>
      <c r="F9" s="49" t="str">
        <f>IFERROR(VLOOKUP(E9,'BRI Insert'!A:C,3,FALSE),(VLOOKUP(E9,'Product Names BRI'!A:B,2,FALSE)))</f>
        <v>GOLDEN RAISINS</v>
      </c>
      <c r="G9" s="49">
        <f>IFERROR(VLOOKUP(E9,'BRI Insert'!A:D,4,FALSE),MISC!A5)</f>
        <v>0</v>
      </c>
      <c r="I9" s="29"/>
      <c r="J9" s="45"/>
      <c r="K9" s="45"/>
      <c r="L9" s="3"/>
      <c r="M9" s="3"/>
    </row>
    <row r="10" spans="1:13" x14ac:dyDescent="0.25">
      <c r="A10" s="15">
        <v>1135</v>
      </c>
      <c r="B10" s="49" t="str">
        <f>IFERROR(VLOOKUP(A10,'BRI Insert'!A:C,3,FALSE),(VLOOKUP(A10,'Product Names BRI'!A:B,2,FALSE)))</f>
        <v>TURKEY MINI DOG BISCUITS</v>
      </c>
      <c r="C10" s="50">
        <f>IFERROR(VLOOKUP(A10,'BRI Insert'!A:D,4,FALSE),MISC!A8)</f>
        <v>0</v>
      </c>
      <c r="E10" s="15">
        <v>1704</v>
      </c>
      <c r="F10" s="49" t="str">
        <f>IFERROR(VLOOKUP(E10,'BRI Insert'!A:C,3,FALSE),(VLOOKUP(E10,'Product Names BRI'!A:B,2,FALSE)))</f>
        <v>JUMBO FLAME RAISINS</v>
      </c>
      <c r="G10" s="49">
        <f>IFERROR(VLOOKUP(E10,'BRI Insert'!A:D,4,FALSE),MISC!A6)</f>
        <v>0.25</v>
      </c>
      <c r="I10" s="29"/>
      <c r="J10" s="45"/>
      <c r="K10" s="45"/>
      <c r="L10" s="3"/>
      <c r="M10" s="3"/>
    </row>
    <row r="11" spans="1:13" x14ac:dyDescent="0.25">
      <c r="A11" s="15">
        <v>1137</v>
      </c>
      <c r="B11" s="49" t="str">
        <f>IFERROR(VLOOKUP(A11,'BRI Insert'!A:C,3,FALSE),(VLOOKUP(A11,'Product Names BRI'!A:B,2,FALSE)))</f>
        <v>ALL NAT CHED.CH. MINI DOG BISC</v>
      </c>
      <c r="C11" s="50">
        <f>IFERROR(VLOOKUP(A11,'BRI Insert'!A:D,4,FALSE),MISC!A9)</f>
        <v>0.25</v>
      </c>
      <c r="E11" s="15">
        <v>1709</v>
      </c>
      <c r="F11" s="49" t="str">
        <f>IFERROR(VLOOKUP(E11,'BRI Insert'!A:C,3,FALSE),(VLOOKUP(E11,'Product Names BRI'!A:B,2,FALSE)))</f>
        <v>ZANTE CURRANTS</v>
      </c>
      <c r="G11" s="49">
        <f>IFERROR(VLOOKUP(E11,'BRI Insert'!A:D,4,FALSE),MISC!A7)</f>
        <v>0</v>
      </c>
      <c r="I11" s="29"/>
      <c r="J11" s="45"/>
      <c r="K11" s="45"/>
      <c r="L11" s="3"/>
      <c r="M11" s="3"/>
    </row>
    <row r="12" spans="1:13" x14ac:dyDescent="0.25">
      <c r="A12" s="15">
        <v>1138</v>
      </c>
      <c r="B12" s="49" t="str">
        <f>IFERROR(VLOOKUP(A12,'BRI Insert'!A:C,3,FALSE),(VLOOKUP(A12,'Product Names BRI'!A:B,2,FALSE)))</f>
        <v>ALL NAT LIVER MINI DOG BISCUIT</v>
      </c>
      <c r="C12" s="50">
        <f>IFERROR(VLOOKUP(A12,'BRI Insert'!A:D,4,FALSE),MISC!A10)</f>
        <v>0</v>
      </c>
      <c r="E12" s="15">
        <v>1711</v>
      </c>
      <c r="F12" s="49" t="str">
        <f>IFERROR(VLOOKUP(E12,'BRI Insert'!A:C,3,FALSE),(VLOOKUP(E12,'Product Names BRI'!A:B,2,FALSE)))</f>
        <v>DATES LOOSE PACK PITS REMVD</v>
      </c>
      <c r="G12" s="49">
        <f>IFERROR(VLOOKUP(E12,'BRI Insert'!A:D,4,FALSE),MISC!A8)</f>
        <v>0</v>
      </c>
      <c r="I12" s="29"/>
      <c r="J12" s="45"/>
      <c r="K12" s="45"/>
      <c r="L12" s="3"/>
      <c r="M12" s="3"/>
    </row>
    <row r="13" spans="1:13" x14ac:dyDescent="0.25">
      <c r="A13" s="15">
        <v>1140</v>
      </c>
      <c r="B13" s="49" t="str">
        <f>IFERROR(VLOOKUP(A13,'BRI Insert'!A:C,3,FALSE),(VLOOKUP(A13,'Product Names BRI'!A:B,2,FALSE)))</f>
        <v>NYGER SEED</v>
      </c>
      <c r="C13" s="50">
        <f>IFERROR(VLOOKUP(A13,'BRI Insert'!A:D,4,FALSE),MISC!A11)</f>
        <v>0</v>
      </c>
      <c r="E13" s="15">
        <v>1712</v>
      </c>
      <c r="F13" s="49" t="str">
        <f>IFERROR(VLOOKUP(E13,'BRI Insert'!A:C,3,FALSE),(VLOOKUP(E13,'Product Names BRI'!A:B,2,FALSE)))</f>
        <v>HONEY DATES, PITS REMOVED</v>
      </c>
      <c r="G13" s="49">
        <f>IFERROR(VLOOKUP(E13,'BRI Insert'!A:D,4,FALSE),MISC!A9)</f>
        <v>0</v>
      </c>
      <c r="I13" s="29"/>
      <c r="J13" s="45"/>
      <c r="K13" s="45"/>
      <c r="L13" s="3"/>
      <c r="M13" s="3"/>
    </row>
    <row r="14" spans="1:13" x14ac:dyDescent="0.25">
      <c r="A14" s="15">
        <v>1141</v>
      </c>
      <c r="B14" s="49" t="str">
        <f>IFERROR(VLOOKUP(A14,'BRI Insert'!A:C,3,FALSE),(VLOOKUP(A14,'Product Names BRI'!A:B,2,FALSE)))</f>
        <v>FINCH MIX</v>
      </c>
      <c r="C14" s="50">
        <f>IFERROR(VLOOKUP(A14,'BRI Insert'!A:D,4,FALSE),MISC!A12)</f>
        <v>0.75</v>
      </c>
      <c r="E14" s="15">
        <v>1713</v>
      </c>
      <c r="F14" s="49" t="str">
        <f>IFERROR(VLOOKUP(E14,'BRI Insert'!A:C,3,FALSE),(VLOOKUP(E14,'Product Names BRI'!A:B,2,FALSE)))</f>
        <v>ORGANIC MEDJOOL DATES</v>
      </c>
      <c r="G14" s="49">
        <f>IFERROR(VLOOKUP(E14,'BRI Insert'!A:D,4,FALSE),MISC!A10)</f>
        <v>0</v>
      </c>
      <c r="I14" s="29"/>
      <c r="J14" s="45"/>
      <c r="K14" s="45"/>
      <c r="L14" s="3"/>
      <c r="M14" s="3"/>
    </row>
    <row r="15" spans="1:13" x14ac:dyDescent="0.25">
      <c r="A15" s="15">
        <v>1142</v>
      </c>
      <c r="B15" s="49" t="str">
        <f>IFERROR(VLOOKUP(A15,'BRI Insert'!A:C,3,FALSE),(VLOOKUP(A15,'Product Names BRI'!A:B,2,FALSE)))</f>
        <v>COCKATIEL SEED MIX</v>
      </c>
      <c r="C15" s="50">
        <f>IFERROR(VLOOKUP(A15,'BRI Insert'!A:D,4,FALSE),MISC!A13)</f>
        <v>0</v>
      </c>
      <c r="E15" s="15">
        <v>1714</v>
      </c>
      <c r="F15" s="49" t="str">
        <f>IFERROR(VLOOKUP(E15,'BRI Insert'!A:C,3,FALSE),(VLOOKUP(E15,'Product Names BRI'!A:B,2,FALSE)))</f>
        <v>DICED DATES, DEXTROSE COATED</v>
      </c>
      <c r="G15" s="49">
        <f>IFERROR(VLOOKUP(E15,'BRI Insert'!A:D,4,FALSE),MISC!A11)</f>
        <v>0</v>
      </c>
      <c r="I15" s="29"/>
      <c r="J15" s="45"/>
      <c r="K15" s="45"/>
      <c r="L15" s="3"/>
      <c r="M15" s="3"/>
    </row>
    <row r="16" spans="1:13" x14ac:dyDescent="0.25">
      <c r="A16" s="15">
        <v>1148</v>
      </c>
      <c r="B16" s="49" t="str">
        <f>IFERROR(VLOOKUP(A16,'BRI Insert'!A:C,3,FALSE),(VLOOKUP(A16,'Product Names BRI'!A:B,2,FALSE)))</f>
        <v>SALMON MINI DOG BISCUITS</v>
      </c>
      <c r="C16" s="50">
        <f>IFERROR(VLOOKUP(A16,'BRI Insert'!A:D,4,FALSE),MISC!A14)</f>
        <v>0</v>
      </c>
      <c r="E16" s="15">
        <v>1717</v>
      </c>
      <c r="F16" s="49" t="str">
        <f>IFERROR(VLOOKUP(E16,'BRI Insert'!A:C,3,FALSE),(VLOOKUP(E16,'Product Names BRI'!A:B,2,FALSE)))</f>
        <v>TURKISH FIGS NATURAL</v>
      </c>
      <c r="G16" s="49">
        <f>IFERROR(VLOOKUP(E16,'BRI Insert'!A:D,4,FALSE),MISC!A12)</f>
        <v>0.25</v>
      </c>
      <c r="I16" s="29"/>
      <c r="J16" s="45"/>
      <c r="K16" s="45"/>
      <c r="L16" s="3"/>
      <c r="M16" s="3"/>
    </row>
    <row r="17" spans="1:13" x14ac:dyDescent="0.25">
      <c r="A17" s="15">
        <v>1149</v>
      </c>
      <c r="B17" s="49" t="str">
        <f>IFERROR(VLOOKUP(A17,'BRI Insert'!A:C,3,FALSE),(VLOOKUP(A17,'Product Names BRI'!A:B,2,FALSE)))</f>
        <v>VEGGIE &amp; FRUIT MINI DOG BISCUITS</v>
      </c>
      <c r="C17" s="50">
        <f>IFERROR(VLOOKUP(A17,'BRI Insert'!A:D,4,FALSE),MISC!A15)</f>
        <v>0</v>
      </c>
      <c r="E17" s="15">
        <v>1718</v>
      </c>
      <c r="F17" s="49" t="str">
        <f>IFERROR(VLOOKUP(E17,'BRI Insert'!A:C,3,FALSE),(VLOOKUP(E17,'Product Names BRI'!A:B,2,FALSE)))</f>
        <v>BLACK MISSION FIGS</v>
      </c>
      <c r="G17" s="49">
        <f>IFERROR(VLOOKUP(E17,'BRI Insert'!A:D,4,FALSE),MISC!A13)</f>
        <v>0</v>
      </c>
      <c r="I17" s="29"/>
      <c r="J17" s="45"/>
      <c r="K17" s="45"/>
      <c r="L17" s="3"/>
      <c r="M17" s="3"/>
    </row>
    <row r="18" spans="1:13" x14ac:dyDescent="0.25">
      <c r="A18" s="15">
        <v>1150</v>
      </c>
      <c r="B18" s="49" t="str">
        <f>IFERROR(VLOOKUP(A18,'BRI Insert'!A:C,3,FALSE),(VLOOKUP(A18,'Product Names BRI'!A:B,2,FALSE)))</f>
        <v>ALL NATURAL PEANUT BUTTER DOG BISCUITS</v>
      </c>
      <c r="C18" s="50">
        <f>IFERROR(VLOOKUP(A18,'BRI Insert'!A:D,4,FALSE),MISC!A16)</f>
        <v>0</v>
      </c>
      <c r="E18" s="15">
        <v>1719</v>
      </c>
      <c r="F18" s="49" t="str">
        <f>IFERROR(VLOOKUP(E18,'BRI Insert'!A:C,3,FALSE),(VLOOKUP(E18,'Product Names BRI'!A:B,2,FALSE)))</f>
        <v>DRIED MULBERRIES</v>
      </c>
      <c r="G18" s="49">
        <f>IFERROR(VLOOKUP(E18,'BRI Insert'!A:D,4,FALSE),MISC!A14)</f>
        <v>0</v>
      </c>
      <c r="I18" s="29"/>
      <c r="J18" s="45"/>
      <c r="K18" s="45"/>
      <c r="L18" s="3"/>
      <c r="M18" s="3"/>
    </row>
    <row r="19" spans="1:13" x14ac:dyDescent="0.25">
      <c r="A19" s="15">
        <v>1151</v>
      </c>
      <c r="B19" s="49" t="str">
        <f>IFERROR(VLOOKUP(A19,'BRI Insert'!A:C,3,FALSE),(VLOOKUP(A19,'Product Names BRI'!A:B,2,FALSE)))</f>
        <v>BEEF JERKY STRIP</v>
      </c>
      <c r="C19" s="50">
        <f>IFERROR(VLOOKUP(A19,'BRI Insert'!A:D,4,FALSE),MISC!A17)</f>
        <v>1</v>
      </c>
      <c r="E19" s="15">
        <v>1720</v>
      </c>
      <c r="F19" s="49" t="str">
        <f>IFERROR(VLOOKUP(E19,'BRI Insert'!A:C,3,FALSE),(VLOOKUP(E19,'Product Names BRI'!A:B,2,FALSE)))</f>
        <v>TURKISH APRICOTS</v>
      </c>
      <c r="G19" s="49">
        <f>IFERROR(VLOOKUP(E19,'BRI Insert'!A:D,4,FALSE),MISC!A15)</f>
        <v>0.25</v>
      </c>
      <c r="I19" s="29"/>
      <c r="J19" s="45"/>
      <c r="K19" s="45"/>
      <c r="L19" s="3"/>
      <c r="M19" s="3"/>
    </row>
    <row r="20" spans="1:13" x14ac:dyDescent="0.25">
      <c r="A20" s="15">
        <v>1156</v>
      </c>
      <c r="B20" s="49" t="str">
        <f>IFERROR(VLOOKUP(A20,'BRI Insert'!A:C,3,FALSE),(VLOOKUP(A20,'Product Names BRI'!A:B,2,FALSE)))</f>
        <v>PIG EAR PIECES</v>
      </c>
      <c r="C20" s="50">
        <f>IFERROR(VLOOKUP(A20,'BRI Insert'!A:D,4,FALSE),MISC!A18)</f>
        <v>0</v>
      </c>
      <c r="E20" s="15">
        <v>1722</v>
      </c>
      <c r="F20" s="49" t="str">
        <f>IFERROR(VLOOKUP(E20,'BRI Insert'!A:C,3,FALSE),(VLOOKUP(E20,'Product Names BRI'!A:B,2,FALSE)))</f>
        <v>DRIED BLUEBERRIES</v>
      </c>
      <c r="G20" s="49">
        <f>IFERROR(VLOOKUP(E20,'BRI Insert'!A:D,4,FALSE),MISC!A16)</f>
        <v>0</v>
      </c>
      <c r="I20" s="29"/>
      <c r="J20" s="45"/>
      <c r="K20" s="45"/>
      <c r="L20" s="3"/>
      <c r="M20" s="3"/>
    </row>
    <row r="21" spans="1:13" x14ac:dyDescent="0.25">
      <c r="A21" s="15">
        <v>1159</v>
      </c>
      <c r="B21" s="49" t="str">
        <f>IFERROR(VLOOKUP(A21,'BRI Insert'!A:C,3,FALSE),(VLOOKUP(A21,'Product Names BRI'!A:B,2,FALSE)))</f>
        <v>ALL NATURAL WHITE RAWHIDE CHIPS</v>
      </c>
      <c r="C21" s="50">
        <f>IFERROR(VLOOKUP(A21,'BRI Insert'!A:D,4,FALSE),MISC!A19)</f>
        <v>0</v>
      </c>
      <c r="E21" s="15">
        <v>1723</v>
      </c>
      <c r="F21" s="49" t="str">
        <f>IFERROR(VLOOKUP(E21,'BRI Insert'!A:C,3,FALSE),(VLOOKUP(E21,'Product Names BRI'!A:B,2,FALSE)))</f>
        <v>DRIED TART CHERRIES</v>
      </c>
      <c r="G21" s="49">
        <f>IFERROR(VLOOKUP(E21,'BRI Insert'!A:D,4,FALSE),MISC!A17)</f>
        <v>0</v>
      </c>
      <c r="I21" s="29"/>
      <c r="J21" s="45"/>
      <c r="K21" s="45"/>
      <c r="L21" s="3"/>
      <c r="M21" s="3"/>
    </row>
    <row r="22" spans="1:13" x14ac:dyDescent="0.25">
      <c r="A22" s="15">
        <v>1160</v>
      </c>
      <c r="B22" s="49" t="str">
        <f>IFERROR(VLOOKUP(A22,'BRI Insert'!A:C,3,FALSE),(VLOOKUP(A22,'Product Names BRI'!A:B,2,FALSE)))</f>
        <v>MARROWBONE DOG TREATS</v>
      </c>
      <c r="C22" s="50">
        <f>IFERROR(VLOOKUP(A22,'BRI Insert'!A:D,4,FALSE),MISC!A20)</f>
        <v>0.5</v>
      </c>
      <c r="E22" s="15">
        <v>1724</v>
      </c>
      <c r="F22" s="49" t="str">
        <f>IFERROR(VLOOKUP(E22,'BRI Insert'!A:C,3,FALSE),(VLOOKUP(E22,'Product Names BRI'!A:B,2,FALSE)))</f>
        <v>DRIED CRANBERRIES</v>
      </c>
      <c r="G22" s="49">
        <f>IFERROR(VLOOKUP(E22,'BRI Insert'!A:D,4,FALSE),MISC!A18)</f>
        <v>2</v>
      </c>
      <c r="I22" s="29"/>
      <c r="J22" s="45"/>
      <c r="K22" s="45"/>
      <c r="L22" s="3"/>
      <c r="M22" s="3"/>
    </row>
    <row r="23" spans="1:13" x14ac:dyDescent="0.25">
      <c r="A23" s="15">
        <v>1174</v>
      </c>
      <c r="B23" s="49" t="str">
        <f>IFERROR(VLOOKUP(A23,'BRI Insert'!A:C,3,FALSE),(VLOOKUP(A23,'Product Names BRI'!A:B,2,FALSE)))</f>
        <v>SM ASST DOG BISCUITS MILK BONE</v>
      </c>
      <c r="C23" s="50">
        <f>IFERROR(VLOOKUP(A23,'BRI Insert'!A:D,4,FALSE),MISC!A21)</f>
        <v>0</v>
      </c>
      <c r="E23" s="15">
        <v>1727</v>
      </c>
      <c r="F23" s="49" t="str">
        <f>IFERROR(VLOOKUP(E23,'BRI Insert'!A:C,3,FALSE),(VLOOKUP(E23,'Product Names BRI'!A:B,2,FALSE)))</f>
        <v>APPLE RINGS</v>
      </c>
      <c r="G23" s="49">
        <f>IFERROR(VLOOKUP(E23,'BRI Insert'!A:D,4,FALSE),MISC!A19)</f>
        <v>1</v>
      </c>
      <c r="I23" s="29"/>
      <c r="J23" s="45"/>
      <c r="K23" s="45"/>
      <c r="L23" s="3"/>
      <c r="M23" s="3"/>
    </row>
    <row r="24" spans="1:13" x14ac:dyDescent="0.25">
      <c r="A24" s="15">
        <v>1175</v>
      </c>
      <c r="B24" s="49" t="str">
        <f>IFERROR(VLOOKUP(A24,'BRI Insert'!A:C,3,FALSE),(VLOOKUP(A24,'Product Names BRI'!A:B,2,FALSE)))</f>
        <v>MED.ASST DOG BISCUIT MILK BONE</v>
      </c>
      <c r="C24" s="50">
        <f>IFERROR(VLOOKUP(A24,'BRI Insert'!A:D,4,FALSE),MISC!A22)</f>
        <v>0.75</v>
      </c>
      <c r="E24" s="15">
        <v>1728</v>
      </c>
      <c r="F24" s="49" t="str">
        <f>IFERROR(VLOOKUP(E24,'BRI Insert'!A:C,3,FALSE),(VLOOKUP(E24,'Product Names BRI'!A:B,2,FALSE)))</f>
        <v>DRIED MIXED FRUIT WITH PRUNES</v>
      </c>
      <c r="G24" s="49">
        <f>IFERROR(VLOOKUP(E24,'BRI Insert'!A:D,4,FALSE),MISC!A20)</f>
        <v>0</v>
      </c>
      <c r="I24" s="29"/>
      <c r="J24" s="45"/>
      <c r="K24" s="45"/>
      <c r="L24" s="3"/>
      <c r="M24" s="3"/>
    </row>
    <row r="25" spans="1:13" x14ac:dyDescent="0.25">
      <c r="A25" s="15">
        <v>1176</v>
      </c>
      <c r="B25" s="49" t="str">
        <f>IFERROR(VLOOKUP(A25,'BRI Insert'!A:C,3,FALSE),(VLOOKUP(A25,'Product Names BRI'!A:B,2,FALSE)))</f>
        <v>LG GOLDN DOG BISCUIT MILK BONE</v>
      </c>
      <c r="C25" s="50">
        <f>IFERROR(VLOOKUP(A25,'BRI Insert'!A:D,4,FALSE),MISC!A23)</f>
        <v>0.25</v>
      </c>
      <c r="E25" s="15">
        <v>1729</v>
      </c>
      <c r="F25" s="49" t="str">
        <f>IFERROR(VLOOKUP(E25,'BRI Insert'!A:C,3,FALSE),(VLOOKUP(E25,'Product Names BRI'!A:B,2,FALSE)))</f>
        <v>MANGO SLICES DRIED</v>
      </c>
      <c r="G25" s="49">
        <f>IFERROR(VLOOKUP(E25,'BRI Insert'!A:D,4,FALSE),MISC!A21)</f>
        <v>0.25</v>
      </c>
      <c r="I25" s="29"/>
      <c r="J25" s="45"/>
      <c r="K25" s="45"/>
      <c r="L25" s="3"/>
      <c r="M25" s="3"/>
    </row>
    <row r="26" spans="1:13" x14ac:dyDescent="0.25">
      <c r="A26" s="15">
        <v>2513</v>
      </c>
      <c r="B26" s="49" t="str">
        <f>IFERROR(VLOOKUP(A26,'BRI Insert'!A:C,3,FALSE),(VLOOKUP(A26,'Product Names BRI'!A:B,2,FALSE)))</f>
        <v>LARGE TURKEY DOG BISCUITS</v>
      </c>
      <c r="C26" s="50">
        <f>IFERROR(VLOOKUP(A26,'BRI Insert'!A:D,4,FALSE),MISC!A24)</f>
        <v>0</v>
      </c>
      <c r="E26" s="15">
        <v>1733</v>
      </c>
      <c r="F26" s="49" t="str">
        <f>IFERROR(VLOOKUP(E26,'BRI Insert'!A:C,3,FALSE),(VLOOKUP(E26,'Product Names BRI'!A:B,2,FALSE)))</f>
        <v>FRUIT MIX REGULAR</v>
      </c>
      <c r="G26" s="49">
        <f>IFERROR(VLOOKUP(E26,'BRI Insert'!A:D,4,FALSE),MISC!A22)</f>
        <v>0.25</v>
      </c>
      <c r="I26" s="29"/>
      <c r="J26" s="45"/>
      <c r="K26" s="45"/>
      <c r="L26" s="3"/>
      <c r="M26" s="3"/>
    </row>
    <row r="27" spans="1:13" x14ac:dyDescent="0.25">
      <c r="A27" s="15">
        <v>2514</v>
      </c>
      <c r="B27" s="49" t="str">
        <f>IFERROR(VLOOKUP(A27,'BRI Insert'!A:C,3,FALSE),(VLOOKUP(A27,'Product Names BRI'!A:B,2,FALSE)))</f>
        <v>LARGE CHEDDAR CHEESE DOG BISCUIT</v>
      </c>
      <c r="C27" s="50">
        <f>IFERROR(VLOOKUP(A27,'BRI Insert'!A:D,4,FALSE),MISC!A25)</f>
        <v>0</v>
      </c>
      <c r="E27" s="15">
        <v>1737</v>
      </c>
      <c r="F27" s="49" t="str">
        <f>IFERROR(VLOOKUP(E27,'BRI Insert'!A:C,3,FALSE),(VLOOKUP(E27,'Product Names BRI'!A:B,2,FALSE)))</f>
        <v>DRIED STRAWBERRIES</v>
      </c>
      <c r="G27" s="49">
        <f>IFERROR(VLOOKUP(E27,'BRI Insert'!A:D,4,FALSE),MISC!A39)</f>
        <v>0.25</v>
      </c>
      <c r="I27" s="29"/>
      <c r="J27" s="45"/>
      <c r="K27" s="45"/>
      <c r="L27" s="3"/>
      <c r="M27" s="3"/>
    </row>
    <row r="28" spans="1:13" x14ac:dyDescent="0.25">
      <c r="A28" s="15">
        <v>2716</v>
      </c>
      <c r="B28" s="49" t="str">
        <f>IFERROR(VLOOKUP(A28,'BRI Insert'!A:C,3,FALSE),(VLOOKUP(A28,'Product Names BRI'!A:B,2,FALSE)))</f>
        <v>GRAIN FREE PUMPKIN LRG DOG BIS</v>
      </c>
      <c r="C28" s="50">
        <f>IFERROR(VLOOKUP(A28,'BRI Insert'!A:D,4,FALSE),MISC!A26)</f>
        <v>0.25</v>
      </c>
      <c r="E28" s="15">
        <v>1740</v>
      </c>
      <c r="F28" s="49" t="str">
        <f>IFERROR(VLOOKUP(E28,'BRI Insert'!A:C,3,FALSE),(VLOOKUP(E28,'Product Names BRI'!A:B,2,FALSE)))</f>
        <v>MIXED PEEL (OR/LEM/CIT)</v>
      </c>
      <c r="G28" s="49">
        <f>IFERROR(VLOOKUP(E28,'BRI Insert'!A:D,4,FALSE),MISC!A23)</f>
        <v>0.5</v>
      </c>
      <c r="I28" s="29"/>
      <c r="J28" s="45"/>
      <c r="K28" s="45"/>
      <c r="L28" s="3"/>
      <c r="M28" s="3"/>
    </row>
    <row r="29" spans="1:13" x14ac:dyDescent="0.25">
      <c r="A29" s="15">
        <v>2819</v>
      </c>
      <c r="B29" s="49" t="str">
        <f>IFERROR(VLOOKUP(A29,'BRI Insert'!A:C,3,FALSE),(VLOOKUP(A29,'Product Names BRI'!A:B,2,FALSE)))</f>
        <v>GRAIN FREE HIP&amp;JOINT MINI DOG</v>
      </c>
      <c r="C29" s="50">
        <f>IFERROR(VLOOKUP(A29,'BRI Insert'!A:D,4,FALSE),MISC!A27)</f>
        <v>0.25</v>
      </c>
      <c r="E29" s="15">
        <v>1744</v>
      </c>
      <c r="F29" s="49" t="str">
        <f>IFERROR(VLOOKUP(E29,'BRI Insert'!A:C,3,FALSE),(VLOOKUP(E29,'Product Names BRI'!A:B,2,FALSE)))</f>
        <v>NATURAL PINEAPPLE WEDGES, GLAZED</v>
      </c>
      <c r="G29" s="49">
        <f>IFERROR(VLOOKUP(E29,'BRI Insert'!A:D,4,FALSE),MISC!A24)</f>
        <v>0</v>
      </c>
      <c r="I29" s="29"/>
      <c r="J29" s="45"/>
      <c r="K29" s="45"/>
      <c r="L29" s="3"/>
      <c r="M29" s="3"/>
    </row>
    <row r="30" spans="1:13" x14ac:dyDescent="0.25">
      <c r="A30" s="15">
        <v>2820</v>
      </c>
      <c r="B30" s="49" t="str">
        <f>IFERROR(VLOOKUP(A30,'BRI Insert'!A:C,3,FALSE),(VLOOKUP(A30,'Product Names BRI'!A:B,2,FALSE)))</f>
        <v>GRAIN FREE SALMON DOG BISCUITS</v>
      </c>
      <c r="C30" s="50">
        <f>IFERROR(VLOOKUP(A30,'BRI Insert'!A:D,4,FALSE),MISC!A28)</f>
        <v>0</v>
      </c>
      <c r="E30" s="15">
        <v>1751</v>
      </c>
      <c r="F30" s="49" t="str">
        <f>IFERROR(VLOOKUP(E30,'BRI Insert'!A:C,3,FALSE),(VLOOKUP(E30,'Product Names BRI'!A:B,2,FALSE)))</f>
        <v>CHERRIES WHOLE /BR.RED</v>
      </c>
      <c r="G30" s="49">
        <f>IFERROR(VLOOKUP(E30,'BRI Insert'!A:D,4,FALSE),MISC!A25)</f>
        <v>0.5</v>
      </c>
      <c r="I30" s="29"/>
      <c r="J30" s="45"/>
      <c r="K30" s="45"/>
      <c r="L30" s="3"/>
      <c r="M30" s="3"/>
    </row>
    <row r="31" spans="1:13" x14ac:dyDescent="0.25">
      <c r="A31" s="15">
        <v>2913</v>
      </c>
      <c r="B31" s="49" t="str">
        <f>IFERROR(VLOOKUP(A31,'BRI Insert'!A:C,3,FALSE),(VLOOKUP(A31,'Product Names BRI'!A:B,2,FALSE)))</f>
        <v>GRAIN FREE BANANA MINI DOG BISCUITS</v>
      </c>
      <c r="C31" s="50">
        <f>IFERROR(VLOOKUP(A31,'BRI Insert'!A:D,4,FALSE),MISC!A29)</f>
        <v>0</v>
      </c>
      <c r="E31" s="15">
        <v>1752</v>
      </c>
      <c r="F31" s="49" t="str">
        <f>IFERROR(VLOOKUP(E31,'BRI Insert'!A:C,3,FALSE),(VLOOKUP(E31,'Product Names BRI'!A:B,2,FALSE)))</f>
        <v>CHERRIES WHOLE/BR.GREEN</v>
      </c>
      <c r="G31" s="49">
        <f>IFERROR(VLOOKUP(E31,'BRI Insert'!A:D,4,FALSE),MISC!A26)</f>
        <v>0.25</v>
      </c>
      <c r="I31" s="29"/>
      <c r="J31" s="45"/>
      <c r="K31" s="45"/>
      <c r="L31" s="3"/>
      <c r="M31" s="3"/>
    </row>
    <row r="32" spans="1:13" x14ac:dyDescent="0.25">
      <c r="A32" s="15">
        <v>2964</v>
      </c>
      <c r="B32" s="49" t="str">
        <f>IFERROR(VLOOKUP(A32,'BRI Insert'!A:C,3,FALSE),(VLOOKUP(A32,'Product Names BRI'!A:B,2,FALSE)))</f>
        <v>ORG GRAIN FREE AP CIN DOG BISC</v>
      </c>
      <c r="C32" s="50">
        <f>IFERROR(VLOOKUP(A32,'BRI Insert'!A:D,4,FALSE),MISC!A30)</f>
        <v>0</v>
      </c>
      <c r="E32" s="15">
        <v>1753</v>
      </c>
      <c r="F32" s="49" t="str">
        <f>IFERROR(VLOOKUP(E32,'BRI Insert'!A:C,3,FALSE),(VLOOKUP(E32,'Product Names BRI'!A:B,2,FALSE)))</f>
        <v>COCONUT UNSWT MEDIUM</v>
      </c>
      <c r="G32" s="49">
        <f>IFERROR(VLOOKUP(E32,'BRI Insert'!A:D,4,FALSE),MISC!A27)</f>
        <v>0.5</v>
      </c>
      <c r="I32" s="29"/>
      <c r="J32" s="45"/>
      <c r="K32" s="45"/>
      <c r="L32" s="3"/>
      <c r="M32" s="3"/>
    </row>
    <row r="33" spans="1:13" x14ac:dyDescent="0.25">
      <c r="A33" s="15">
        <v>3061</v>
      </c>
      <c r="B33" s="49" t="str">
        <f>IFERROR(VLOOKUP(A33,'BRI Insert'!A:C,3,FALSE),(VLOOKUP(A33,'Product Names BRI'!A:B,2,FALSE)))</f>
        <v>GRAIN FREE MAPLE BACN DOG BISC</v>
      </c>
      <c r="C33" s="50">
        <f>IFERROR(VLOOKUP(A33,'BRI Insert'!A:D,4,FALSE),MISC!A31)</f>
        <v>0</v>
      </c>
      <c r="E33" s="15">
        <v>1754</v>
      </c>
      <c r="F33" s="49" t="str">
        <f>IFERROR(VLOOKUP(E33,'BRI Insert'!A:C,3,FALSE),(VLOOKUP(E33,'Product Names BRI'!A:B,2,FALSE)))</f>
        <v>COCONUT UNSWT. MAC FINE</v>
      </c>
      <c r="G33" s="49">
        <f>IFERROR(VLOOKUP(E33,'BRI Insert'!A:D,4,FALSE),MISC!A37)</f>
        <v>0</v>
      </c>
      <c r="I33" s="29"/>
      <c r="J33" s="45"/>
      <c r="K33" s="45"/>
      <c r="L33" s="3"/>
      <c r="M33" s="3"/>
    </row>
    <row r="34" spans="1:13" x14ac:dyDescent="0.25">
      <c r="A34" s="15" t="s">
        <v>1069</v>
      </c>
      <c r="B34" s="49" t="str">
        <f>IFERROR(VLOOKUP(A34,'BRI Insert'!A:C,3,FALSE),(VLOOKUP(A34,'Product Names BRI'!A:B,2,FALSE)))</f>
        <v>-</v>
      </c>
      <c r="C34" s="50">
        <f>IFERROR(VLOOKUP(A34,'BRI Insert'!A:D,4,FALSE),MISC!A32)</f>
        <v>0</v>
      </c>
      <c r="E34" s="15">
        <v>1755</v>
      </c>
      <c r="F34" s="49" t="str">
        <f>IFERROR(VLOOKUP(E34,'BRI Insert'!A:C,3,FALSE),(VLOOKUP(E34,'Product Names BRI'!A:B,2,FALSE)))</f>
        <v>COCONUT UNSWEET SHREDDED</v>
      </c>
      <c r="G34" s="49">
        <f>IFERROR(VLOOKUP(E34,'BRI Insert'!A:D,4,FALSE),MISC!A38)</f>
        <v>0.75</v>
      </c>
      <c r="I34" s="29"/>
      <c r="J34" s="45"/>
      <c r="K34" s="45"/>
      <c r="L34" s="3"/>
      <c r="M34" s="3"/>
    </row>
    <row r="35" spans="1:13" x14ac:dyDescent="0.25">
      <c r="A35" s="15" t="s">
        <v>1069</v>
      </c>
      <c r="B35" s="49" t="str">
        <f>IFERROR(VLOOKUP(A35,'BRI Insert'!A:C,3,FALSE),(VLOOKUP(A35,'Product Names BRI'!A:B,2,FALSE)))</f>
        <v>-</v>
      </c>
      <c r="C35" s="50">
        <f>IFERROR(VLOOKUP(A35,'BRI Insert'!A:D,4,FALSE),MISC!A33)</f>
        <v>0</v>
      </c>
      <c r="E35" s="15">
        <v>1756</v>
      </c>
      <c r="F35" s="49" t="str">
        <f>IFERROR(VLOOKUP(E35,'BRI Insert'!A:C,3,FALSE),(VLOOKUP(E35,'Product Names BRI'!A:B,2,FALSE)))</f>
        <v>GOJI BERRIES</v>
      </c>
      <c r="G35" s="49">
        <f>IFERROR(VLOOKUP(E35,'BRI Insert'!A:D,4,FALSE),MISC!A28)</f>
        <v>0.25</v>
      </c>
      <c r="I35" s="29"/>
      <c r="J35" s="45"/>
      <c r="K35" s="45"/>
      <c r="L35" s="3"/>
      <c r="M35" s="3"/>
    </row>
    <row r="36" spans="1:13" x14ac:dyDescent="0.25">
      <c r="A36" s="15" t="s">
        <v>1069</v>
      </c>
      <c r="B36" s="49" t="str">
        <f>IFERROR(VLOOKUP(A36,'BRI Insert'!A:C,3,FALSE),(VLOOKUP(A36,'Product Names BRI'!A:B,2,FALSE)))</f>
        <v>-</v>
      </c>
      <c r="C36" s="50">
        <f>IFERROR(VLOOKUP(A36,'BRI Insert'!A:D,4,FALSE),MISC!A4)</f>
        <v>0</v>
      </c>
      <c r="E36" s="15">
        <v>1758</v>
      </c>
      <c r="F36" s="49" t="str">
        <f>IFERROR(VLOOKUP(E36,'BRI Insert'!A:C,3,FALSE),(VLOOKUP(E36,'Product Names BRI'!A:B,2,FALSE)))</f>
        <v>COCONUT SWEET FLAKE</v>
      </c>
      <c r="G36" s="49">
        <f>IFERROR(VLOOKUP(E36,'BRI Insert'!A:D,4,FALSE),MISC!A29)</f>
        <v>0.25</v>
      </c>
      <c r="I36" s="29"/>
      <c r="J36" s="45"/>
      <c r="K36" s="45"/>
      <c r="L36" s="3"/>
      <c r="M36" s="3"/>
    </row>
    <row r="37" spans="1:13" x14ac:dyDescent="0.25">
      <c r="A37" s="15" t="s">
        <v>1069</v>
      </c>
      <c r="B37" s="49" t="str">
        <f>IFERROR(VLOOKUP(A37,'BRI Insert'!A:C,3,FALSE),(VLOOKUP(A37,'Product Names BRI'!A:B,2,FALSE)))</f>
        <v>-</v>
      </c>
      <c r="C37" s="50">
        <f>IFERROR(VLOOKUP(A37,'BRI Insert'!A:D,4,FALSE),MISC!A5)</f>
        <v>0</v>
      </c>
      <c r="E37" s="15">
        <v>1759</v>
      </c>
      <c r="F37" s="49" t="str">
        <f>IFERROR(VLOOKUP(E37,'BRI Insert'!A:C,3,FALSE),(VLOOKUP(E37,'Product Names BRI'!A:B,2,FALSE)))</f>
        <v>COCONUT SWEET SHREDDED</v>
      </c>
      <c r="G37" s="49">
        <f>IFERROR(VLOOKUP(E37,'BRI Insert'!A:D,4,FALSE),MISC!A30)</f>
        <v>0</v>
      </c>
      <c r="I37" s="29"/>
      <c r="J37" s="45"/>
      <c r="K37" s="45"/>
      <c r="L37" s="3"/>
      <c r="M37" s="3"/>
    </row>
    <row r="38" spans="1:13" x14ac:dyDescent="0.25">
      <c r="A38" s="15" t="s">
        <v>1069</v>
      </c>
      <c r="B38" s="49" t="str">
        <f>IFERROR(VLOOKUP(A38,'BRI Insert'!A:C,3,FALSE),(VLOOKUP(A38,'Product Names BRI'!A:B,2,FALSE)))</f>
        <v>-</v>
      </c>
      <c r="C38" s="50">
        <f>IFERROR(VLOOKUP(A38,'BRI Insert'!A:D,4,FALSE),MISC!A34)</f>
        <v>0</v>
      </c>
      <c r="E38" s="15">
        <v>1781</v>
      </c>
      <c r="F38" s="49" t="str">
        <f>IFERROR(VLOOKUP(E38,'BRI Insert'!A:C,3,FALSE),(VLOOKUP(E38,'Product Names BRI'!A:B,2,FALSE)))</f>
        <v>DRIED MANGO SLICES, UNSWEETENED</v>
      </c>
      <c r="G38" s="49">
        <f>IFERROR(VLOOKUP(E38,'BRI Insert'!A:D,4,FALSE),MISC!A31)</f>
        <v>0</v>
      </c>
      <c r="I38" s="29"/>
      <c r="J38" s="45"/>
      <c r="K38" s="45"/>
      <c r="L38" s="3"/>
      <c r="M38" s="3"/>
    </row>
    <row r="39" spans="1:13" x14ac:dyDescent="0.25">
      <c r="A39" s="15" t="s">
        <v>1069</v>
      </c>
      <c r="B39" s="49" t="str">
        <f>IFERROR(VLOOKUP(A39,'BRI Insert'!A:C,3,FALSE),(VLOOKUP(A39,'Product Names BRI'!A:B,2,FALSE)))</f>
        <v>-</v>
      </c>
      <c r="C39" s="50">
        <f>IFERROR(VLOOKUP(A39,'BRI Insert'!A:D,4,FALSE),MISC!A35)</f>
        <v>0</v>
      </c>
      <c r="E39" s="15">
        <v>2195</v>
      </c>
      <c r="F39" s="49" t="str">
        <f>IFERROR(VLOOKUP(E39,'BRI Insert'!A:C,3,FALSE),(VLOOKUP(E39,'Product Names BRI'!A:B,2,FALSE)))</f>
        <v>COCONUT ROLL DATES</v>
      </c>
      <c r="G39" s="49">
        <f>IFERROR(VLOOKUP(E39,'BRI Insert'!A:D,4,FALSE),MISC!A32)</f>
        <v>0</v>
      </c>
      <c r="I39" s="29"/>
      <c r="J39" s="45"/>
      <c r="K39" s="45"/>
      <c r="L39" s="3"/>
      <c r="M39" s="3"/>
    </row>
    <row r="40" spans="1:13" x14ac:dyDescent="0.25">
      <c r="A40" s="15" t="s">
        <v>1069</v>
      </c>
      <c r="B40" s="49" t="str">
        <f>IFERROR(VLOOKUP(A40,'BRI Insert'!A:C,3,FALSE),(VLOOKUP(A40,'Product Names BRI'!A:B,2,FALSE)))</f>
        <v>-</v>
      </c>
      <c r="C40" s="50">
        <f>IFERROR(VLOOKUP(A40,'BRI Insert'!A:D,4,FALSE),MISC!A36)</f>
        <v>0</v>
      </c>
      <c r="E40" s="15">
        <v>2447</v>
      </c>
      <c r="F40" s="49" t="str">
        <f>IFERROR(VLOOKUP(E40,'BRI Insert'!A:C,3,FALSE),(VLOOKUP(E40,'Product Names BRI'!A:B,2,FALSE)))</f>
        <v>TOASTED COCONUT FLAKES</v>
      </c>
      <c r="G40" s="49">
        <f>IFERROR(VLOOKUP(E40,'BRI Insert'!A:D,4,FALSE),MISC!A33)</f>
        <v>0</v>
      </c>
      <c r="I40" s="29"/>
      <c r="J40" s="45"/>
      <c r="K40" s="45"/>
      <c r="L40" s="3"/>
      <c r="M40" s="3"/>
    </row>
    <row r="41" spans="1:13" x14ac:dyDescent="0.25">
      <c r="A41" s="15" t="s">
        <v>1069</v>
      </c>
      <c r="B41" s="49" t="str">
        <f>IFERROR(VLOOKUP(A41,'BRI Insert'!A:C,3,FALSE),(VLOOKUP(A41,'Product Names BRI'!A:B,2,FALSE)))</f>
        <v>-</v>
      </c>
      <c r="C41" s="50">
        <f>IFERROR(VLOOKUP(A41,'BRI Insert'!A:D,4,FALSE),MISC!A37)</f>
        <v>0</v>
      </c>
      <c r="E41" s="15">
        <v>2450</v>
      </c>
      <c r="F41" s="49" t="str">
        <f>IFERROR(VLOOKUP(E41,'BRI Insert'!A:C,3,FALSE),(VLOOKUP(E41,'Product Names BRI'!A:B,2,FALSE)))</f>
        <v>ORGANIC WHOLE CRANBERRIES</v>
      </c>
      <c r="G41" s="49">
        <f>IFERROR(VLOOKUP(E41,'BRI Insert'!A:D,4,FALSE),MISC!A34)</f>
        <v>0</v>
      </c>
      <c r="I41" s="29"/>
      <c r="J41" s="45"/>
      <c r="K41" s="45"/>
      <c r="L41" s="3"/>
      <c r="M41" s="3"/>
    </row>
    <row r="42" spans="1:13" x14ac:dyDescent="0.25">
      <c r="A42" s="15" t="s">
        <v>1069</v>
      </c>
      <c r="B42" s="49" t="str">
        <f>IFERROR(VLOOKUP(A42,'BRI Insert'!A:C,3,FALSE),(VLOOKUP(A42,'Product Names BRI'!A:B,2,FALSE)))</f>
        <v>-</v>
      </c>
      <c r="C42" s="50">
        <f>IFERROR(VLOOKUP(A42,'BRI Insert'!A:D,4,FALSE),MISC!A38)</f>
        <v>0</v>
      </c>
      <c r="E42" s="15">
        <v>2641</v>
      </c>
      <c r="F42" s="49" t="str">
        <f>IFERROR(VLOOKUP(E42,'BRI Insert'!A:C,3,FALSE),(VLOOKUP(E42,'Product Names BRI'!A:B,2,FALSE)))</f>
        <v>DRIED BLUEBERRIES, WILD</v>
      </c>
      <c r="G42" s="49">
        <f>IFERROR(VLOOKUP(E42,'BRI Insert'!A:D,4,FALSE),MISC!A35)</f>
        <v>0</v>
      </c>
      <c r="I42" s="29"/>
      <c r="J42" s="45"/>
      <c r="K42" s="45"/>
      <c r="L42" s="3"/>
      <c r="M42" s="3"/>
    </row>
    <row r="43" spans="1:13" x14ac:dyDescent="0.25">
      <c r="A43" s="15" t="s">
        <v>1069</v>
      </c>
      <c r="B43" s="49" t="str">
        <f>IFERROR(VLOOKUP(A43,'BRI Insert'!A:C,3,FALSE),(VLOOKUP(A43,'Product Names BRI'!A:B,2,FALSE)))</f>
        <v>-</v>
      </c>
      <c r="C43" s="50">
        <f>IFERROR(VLOOKUP(A43,'BRI Insert'!A:D,4,FALSE),MISC!A39)</f>
        <v>0</v>
      </c>
      <c r="E43" s="15">
        <v>2719</v>
      </c>
      <c r="F43" s="49" t="str">
        <f>IFERROR(VLOOKUP(E43,'BRI Insert'!A:C,3,FALSE),(VLOOKUP(E43,'Product Names BRI'!A:B,2,FALSE)))</f>
        <v>PITTED TART APRICOTS</v>
      </c>
      <c r="G43" s="49">
        <f>IFERROR(VLOOKUP(E43,'BRI Insert'!A:D,4,FALSE),MISC!A36)</f>
        <v>0</v>
      </c>
      <c r="I43" s="29"/>
      <c r="J43" s="45"/>
      <c r="K43" s="45"/>
      <c r="L43" s="3"/>
      <c r="M43" s="3"/>
    </row>
    <row r="44" spans="1:13" x14ac:dyDescent="0.25">
      <c r="A44" s="15" t="s">
        <v>1069</v>
      </c>
      <c r="B44" s="49" t="str">
        <f>IFERROR(VLOOKUP(A44,'BRI Insert'!A:C,3,FALSE),(VLOOKUP(A44,'Product Names BRI'!A:B,2,FALSE)))</f>
        <v>-</v>
      </c>
      <c r="C44" s="50">
        <f>IFERROR(VLOOKUP(A44,'BRI Insert'!A:D,4,FALSE),MISC!A40)</f>
        <v>0</v>
      </c>
      <c r="E44" s="15">
        <v>2763</v>
      </c>
      <c r="F44" s="49" t="str">
        <f>IFERROR(VLOOKUP(E44,'BRI Insert'!A:C,3,FALSE),(VLOOKUP(E44,'Product Names BRI'!A:B,2,FALSE)))</f>
        <v>SUNDRIED UNSW RAINIER CHERRIES</v>
      </c>
      <c r="G44" s="49">
        <f>IFERROR(VLOOKUP(E44,'BRI Insert'!A:D,4,FALSE),MISC!A37)</f>
        <v>0</v>
      </c>
      <c r="I44" s="29"/>
      <c r="J44" s="45"/>
      <c r="K44" s="45"/>
      <c r="L44" s="3"/>
      <c r="M44" s="3"/>
    </row>
    <row r="45" spans="1:13" x14ac:dyDescent="0.25">
      <c r="A45" s="31" t="s">
        <v>1069</v>
      </c>
      <c r="B45" s="51" t="str">
        <f>IFERROR(VLOOKUP(A45,'BRI Insert'!A:C,3,FALSE),(VLOOKUP(A45,'Product Names BRI'!A:B,2,FALSE)))</f>
        <v>-</v>
      </c>
      <c r="C45" s="52">
        <f>IFERROR(VLOOKUP(A45,'BRI Insert'!A:D,4,FALSE),MISC!A41)</f>
        <v>0</v>
      </c>
      <c r="E45" s="15">
        <v>2764</v>
      </c>
      <c r="F45" s="49" t="str">
        <f>IFERROR(VLOOKUP(E45,'BRI Insert'!A:C,3,FALSE),(VLOOKUP(E45,'Product Names BRI'!A:B,2,FALSE)))</f>
        <v>UNSWEETENED BING CHERRIES</v>
      </c>
      <c r="G45" s="49">
        <f>IFERROR(VLOOKUP(E45,'BRI Insert'!A:D,4,FALSE),MISC!A38)</f>
        <v>0</v>
      </c>
      <c r="I45" s="29"/>
      <c r="J45" s="45"/>
      <c r="K45" s="45"/>
      <c r="L45" s="3"/>
      <c r="M45" s="3"/>
    </row>
    <row r="46" spans="1:13" x14ac:dyDescent="0.25">
      <c r="A46" s="31" t="s">
        <v>1069</v>
      </c>
      <c r="B46" s="51" t="str">
        <f>IFERROR(VLOOKUP(A46,'BRI Insert'!A:C,3,FALSE),(VLOOKUP(A46,'Product Names BRI'!A:B,2,FALSE)))</f>
        <v>-</v>
      </c>
      <c r="C46" s="52">
        <f>IFERROR(VLOOKUP(A46,'BRI Insert'!A:D,4,FALSE),MISC!A42)</f>
        <v>0</v>
      </c>
      <c r="E46" s="15">
        <v>2846</v>
      </c>
      <c r="F46" s="49" t="str">
        <f>IFERROR(VLOOKUP(E46,'BRI Insert'!A:C,3,FALSE),(VLOOKUP(E46,'Product Names BRI'!A:B,2,FALSE)))</f>
        <v>COCONUT UNSWT (SO2 FREE)</v>
      </c>
      <c r="G46" s="49">
        <f>IFERROR(VLOOKUP(E46,'BRI Insert'!A:D,4,FALSE),MISC!A39)</f>
        <v>0</v>
      </c>
      <c r="I46" s="29"/>
      <c r="J46" s="45"/>
      <c r="K46" s="45"/>
      <c r="L46" s="3"/>
      <c r="M46" s="3"/>
    </row>
    <row r="47" spans="1:13" x14ac:dyDescent="0.25">
      <c r="A47" s="15" t="s">
        <v>1069</v>
      </c>
      <c r="B47" s="49" t="str">
        <f>IFERROR(VLOOKUP(A47,'BRI Insert'!A:C,3,FALSE),(VLOOKUP(A47,'Product Names BRI'!A:B,2,FALSE)))</f>
        <v>-</v>
      </c>
      <c r="C47" s="50">
        <f>IFERROR(VLOOKUP(A47,'BRI Insert'!A:D,4,FALSE),MISC!A43)</f>
        <v>0</v>
      </c>
      <c r="E47" s="15">
        <v>2891</v>
      </c>
      <c r="F47" s="49" t="str">
        <f>IFERROR(VLOOKUP(E47,'BRI Insert'!A:C,3,FALSE),(VLOOKUP(E47,'Product Names BRI'!A:B,2,FALSE)))</f>
        <v>DRIED BLACK CURRANTS</v>
      </c>
      <c r="G47" s="49">
        <f>IFERROR(VLOOKUP(E47,'BRI Insert'!A:D,4,FALSE),MISC!A40)</f>
        <v>0.25</v>
      </c>
    </row>
  </sheetData>
  <sheetProtection password="DF83" sheet="1" objects="1" scenarios="1"/>
  <sortState ref="A5:A47">
    <sortCondition ref="A5"/>
  </sortState>
  <pageMargins left="0.39370078740157499" right="0.27559055118110198" top="0.74803149606299202" bottom="0.35433070866141703" header="0.31496062992126" footer="0.31496062992126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4"/>
  <sheetViews>
    <sheetView topLeftCell="A16" workbookViewId="0">
      <selection activeCell="E43" sqref="E43:E44"/>
    </sheetView>
  </sheetViews>
  <sheetFormatPr defaultRowHeight="15" x14ac:dyDescent="0.25"/>
  <cols>
    <col min="1" max="1" width="7.5703125" customWidth="1"/>
    <col min="2" max="2" width="31.28515625" customWidth="1"/>
    <col min="3" max="3" width="7" customWidth="1"/>
    <col min="4" max="4" width="5.42578125" customWidth="1"/>
    <col min="6" max="6" width="31.42578125" customWidth="1"/>
    <col min="7" max="7" width="7.85546875" customWidth="1"/>
  </cols>
  <sheetData>
    <row r="1" spans="1:7" ht="44.25" x14ac:dyDescent="0.25">
      <c r="A1" s="30" t="s">
        <v>1070</v>
      </c>
      <c r="F1" s="3"/>
      <c r="G1" s="3"/>
    </row>
    <row r="2" spans="1:7" ht="15.6" customHeight="1" x14ac:dyDescent="0.25">
      <c r="B2" s="2"/>
      <c r="C2" s="2"/>
      <c r="D2" s="2"/>
      <c r="E2" s="4"/>
      <c r="F2" s="3"/>
      <c r="G2" s="3"/>
    </row>
    <row r="3" spans="1:7" ht="14.45" customHeight="1" x14ac:dyDescent="0.25">
      <c r="A3" s="1"/>
    </row>
    <row r="4" spans="1:7" ht="20.25" thickBot="1" x14ac:dyDescent="0.3">
      <c r="A4" s="22" t="s">
        <v>861</v>
      </c>
      <c r="B4" s="23" t="s">
        <v>919</v>
      </c>
      <c r="C4" s="24" t="s">
        <v>0</v>
      </c>
      <c r="E4" s="22" t="s">
        <v>861</v>
      </c>
      <c r="F4" s="23" t="s">
        <v>919</v>
      </c>
      <c r="G4" s="24" t="s">
        <v>0</v>
      </c>
    </row>
    <row r="5" spans="1:7" x14ac:dyDescent="0.25">
      <c r="A5" s="3"/>
      <c r="B5" s="3"/>
      <c r="C5" s="3"/>
    </row>
    <row r="6" spans="1:7" x14ac:dyDescent="0.25">
      <c r="A6" s="15">
        <v>100</v>
      </c>
      <c r="B6" s="49" t="str">
        <f>IFERROR(VLOOKUP(A6,'BRI Insert'!A:C,3,FALSE),(VLOOKUP(A6,'Product Names BRI'!A:B,2,FALSE)))</f>
        <v>PEANUTS BLNCHD R&amp;S</v>
      </c>
      <c r="C6" s="50">
        <f>IFERROR(VLOOKUP(A6,'BRI Insert'!A:D,4,FALSE),MISC!A20)</f>
        <v>2.25</v>
      </c>
      <c r="E6" s="15">
        <v>648</v>
      </c>
      <c r="F6" s="49" t="str">
        <f>IFERROR(VLOOKUP(E6,'BRI Insert'!A:C,3,FALSE),(VLOOKUP(E6,'Product Names BRI'!A:B,2,FALSE)))</f>
        <v>BURNT PEANUTS</v>
      </c>
      <c r="G6" s="49">
        <f>IFERROR(VLOOKUP(E6,'BRI Insert'!A:D,4,FALSE),MISC!A11)</f>
        <v>0</v>
      </c>
    </row>
    <row r="7" spans="1:7" x14ac:dyDescent="0.25">
      <c r="A7" s="15">
        <v>102</v>
      </c>
      <c r="B7" s="49" t="str">
        <f>IFERROR(VLOOKUP(A7,'BRI Insert'!A:C,3,FALSE),(VLOOKUP(A7,'Product Names BRI'!A:B,2,FALSE)))</f>
        <v>PEANUTS RAW BLANCHED</v>
      </c>
      <c r="C7" s="50">
        <f>IFERROR(VLOOKUP(A7,'BRI Insert'!A:D,4,FALSE),MISC!A25)</f>
        <v>0.25</v>
      </c>
      <c r="E7" s="15">
        <v>1705</v>
      </c>
      <c r="F7" s="49" t="str">
        <f>IFERROR(VLOOKUP(E7,'BRI Insert'!A:C,3,FALSE),(VLOOKUP(E7,'Product Names BRI'!A:B,2,FALSE)))</f>
        <v>HERSHEY'S SKOR TOFFEE BITS</v>
      </c>
      <c r="G7" s="49">
        <f>IFERROR(VLOOKUP(E7,'BRI Insert'!A:D,4,FALSE),MISC!A1)</f>
        <v>0</v>
      </c>
    </row>
    <row r="8" spans="1:7" x14ac:dyDescent="0.25">
      <c r="A8" s="15">
        <v>105</v>
      </c>
      <c r="B8" s="49" t="str">
        <f>IFERROR(VLOOKUP(A8,'BRI Insert'!A:C,3,FALSE),(VLOOKUP(A8,'Product Names BRI'!A:B,2,FALSE)))</f>
        <v>SMOKEHOUSE BBQ PEANUTS</v>
      </c>
      <c r="C8" s="50">
        <f>IFERROR(VLOOKUP(A8,'BRI Insert'!A:D,4,FALSE),MISC!A38)</f>
        <v>0.25</v>
      </c>
      <c r="E8" s="15">
        <v>1762</v>
      </c>
      <c r="F8" s="49" t="str">
        <f>IFERROR(VLOOKUP(E8,'BRI Insert'!A:C,3,FALSE),(VLOOKUP(E8,'Product Names BRI'!A:B,2,FALSE)))</f>
        <v>BUTTERSCOTCH CHIPS</v>
      </c>
      <c r="G8" s="49">
        <f>IFERROR(VLOOKUP(E8,'BRI Insert'!A:D,4,FALSE),MISC!A38)</f>
        <v>0.25</v>
      </c>
    </row>
    <row r="9" spans="1:7" x14ac:dyDescent="0.25">
      <c r="A9" s="15">
        <v>106</v>
      </c>
      <c r="B9" s="49" t="str">
        <f>IFERROR(VLOOKUP(A9,'BRI Insert'!A:C,3,FALSE),(VLOOKUP(A9,'Product Names BRI'!A:B,2,FALSE)))</f>
        <v>VIRGINIA PEANUTS R&amp;S</v>
      </c>
      <c r="C9" s="50">
        <f>IFERROR(VLOOKUP(A9,'BRI Insert'!A:D,4,FALSE),MISC!A13)</f>
        <v>0</v>
      </c>
      <c r="E9" s="15">
        <v>1763</v>
      </c>
      <c r="F9" s="49" t="str">
        <f>IFERROR(VLOOKUP(E9,'BRI Insert'!A:C,3,FALSE),(VLOOKUP(E9,'Product Names BRI'!A:B,2,FALSE)))</f>
        <v>PEANUT BUTTER CHIPS</v>
      </c>
      <c r="G9" s="49">
        <f>IFERROR(VLOOKUP(E9,'BRI Insert'!A:D,4,FALSE),MISC!A39)</f>
        <v>0</v>
      </c>
    </row>
    <row r="10" spans="1:7" x14ac:dyDescent="0.25">
      <c r="A10" s="15">
        <v>107</v>
      </c>
      <c r="B10" s="49" t="str">
        <f>IFERROR(VLOOKUP(A10,'BRI Insert'!A:C,3,FALSE),(VLOOKUP(A10,'Product Names BRI'!A:B,2,FALSE)))</f>
        <v>UNSALTED VIRGINIA PEANUTS</v>
      </c>
      <c r="C10" s="50">
        <f>IFERROR(VLOOKUP(A10,'BRI Insert'!A:D,4,FALSE),MISC!A18)</f>
        <v>1</v>
      </c>
      <c r="E10" s="15">
        <v>1772</v>
      </c>
      <c r="F10" s="49" t="str">
        <f>IFERROR(VLOOKUP(E10,'BRI Insert'!A:C,3,FALSE),(VLOOKUP(E10,'Product Names BRI'!A:B,2,FALSE)))</f>
        <v>WALNUT HALVES</v>
      </c>
      <c r="G10" s="49">
        <f>IFERROR(VLOOKUP(E10,'BRI Insert'!A:D,4,FALSE),MISC!A13)</f>
        <v>0</v>
      </c>
    </row>
    <row r="11" spans="1:7" x14ac:dyDescent="0.25">
      <c r="A11" s="15">
        <v>108</v>
      </c>
      <c r="B11" s="49" t="str">
        <f>IFERROR(VLOOKUP(A11,'BRI Insert'!A:C,3,FALSE),(VLOOKUP(A11,'Product Names BRI'!A:B,2,FALSE)))</f>
        <v>PEANUTS DRY ROASTED-SEASONED</v>
      </c>
      <c r="C11" s="50">
        <f>IFERROR(VLOOKUP(A11,'BRI Insert'!A:D,4,FALSE),MISC!A21)</f>
        <v>1</v>
      </c>
      <c r="E11" s="15">
        <v>1773</v>
      </c>
      <c r="F11" s="49" t="str">
        <f>IFERROR(VLOOKUP(E11,'BRI Insert'!A:C,3,FALSE),(VLOOKUP(E11,'Product Names BRI'!A:B,2,FALSE)))</f>
        <v>WALNUT PIECES</v>
      </c>
      <c r="G11" s="49">
        <f>IFERROR(VLOOKUP(E11,'BRI Insert'!A:D,4,FALSE),MISC!A14)</f>
        <v>3.25</v>
      </c>
    </row>
    <row r="12" spans="1:7" x14ac:dyDescent="0.25">
      <c r="A12" s="15">
        <v>109</v>
      </c>
      <c r="B12" s="49" t="str">
        <f>IFERROR(VLOOKUP(A12,'BRI Insert'!A:C,3,FALSE),(VLOOKUP(A12,'Product Names BRI'!A:B,2,FALSE)))</f>
        <v>BLANCHED VIRGINIA PEANUTS R&amp;S</v>
      </c>
      <c r="C12" s="50">
        <f>IFERROR(VLOOKUP(A12,'BRI Insert'!A:D,4,FALSE),MISC!A19)</f>
        <v>0</v>
      </c>
      <c r="E12" s="15">
        <v>1774</v>
      </c>
      <c r="F12" s="49" t="str">
        <f>IFERROR(VLOOKUP(E12,'BRI Insert'!A:C,3,FALSE),(VLOOKUP(E12,'Product Names BRI'!A:B,2,FALSE)))</f>
        <v>NATURAL WHOLE BRAZIL NUTS</v>
      </c>
      <c r="G12" s="49">
        <f>IFERROR(VLOOKUP(E12,'BRI Insert'!A:D,4,FALSE),MISC!A12)</f>
        <v>0</v>
      </c>
    </row>
    <row r="13" spans="1:7" x14ac:dyDescent="0.25">
      <c r="A13" s="15">
        <v>110</v>
      </c>
      <c r="B13" s="49" t="str">
        <f>IFERROR(VLOOKUP(A13,'BRI Insert'!A:C,3,FALSE),(VLOOKUP(A13,'Product Names BRI'!A:B,2,FALSE)))</f>
        <v>HONEY ROASTED PEANUTS</v>
      </c>
      <c r="C13" s="50">
        <f>IFERROR(VLOOKUP(A13,'BRI Insert'!A:D,4,FALSE),MISC!A27)</f>
        <v>0.75</v>
      </c>
      <c r="E13" s="15">
        <v>1775</v>
      </c>
      <c r="F13" s="49" t="str">
        <f>IFERROR(VLOOKUP(E13,'BRI Insert'!A:C,3,FALSE),(VLOOKUP(E13,'Product Names BRI'!A:B,2,FALSE)))</f>
        <v>HAZELNUTS WHOLE NAT.(FILBERTS)</v>
      </c>
      <c r="G13" s="49">
        <f>IFERROR(VLOOKUP(E13,'BRI Insert'!A:D,4,FALSE),MISC!A8)</f>
        <v>0.5</v>
      </c>
    </row>
    <row r="14" spans="1:7" x14ac:dyDescent="0.25">
      <c r="A14" s="15">
        <v>111</v>
      </c>
      <c r="B14" s="49" t="str">
        <f>IFERROR(VLOOKUP(A14,'BRI Insert'!A:C,3,FALSE),(VLOOKUP(A14,'Product Names BRI'!A:B,2,FALSE)))</f>
        <v>CASHEW PIECES, ROASTED &amp; SALTED</v>
      </c>
      <c r="C14" s="50">
        <f>IFERROR(VLOOKUP(A14,'BRI Insert'!A:D,4,FALSE),MISC!A15)</f>
        <v>0</v>
      </c>
      <c r="E14" s="15">
        <v>1779</v>
      </c>
      <c r="F14" s="49" t="str">
        <f>IFERROR(VLOOKUP(E14,'BRI Insert'!A:C,3,FALSE),(VLOOKUP(E14,'Product Names BRI'!A:B,2,FALSE)))</f>
        <v>PECAN HALVES</v>
      </c>
      <c r="G14" s="49">
        <f>IFERROR(VLOOKUP(E14,'BRI Insert'!A:D,4,FALSE),MISC!A10)</f>
        <v>0</v>
      </c>
    </row>
    <row r="15" spans="1:7" x14ac:dyDescent="0.25">
      <c r="A15" s="15">
        <v>112</v>
      </c>
      <c r="B15" s="49" t="str">
        <f>IFERROR(VLOOKUP(A15,'BRI Insert'!A:C,3,FALSE),(VLOOKUP(A15,'Product Names BRI'!A:B,2,FALSE)))</f>
        <v>JUMBO CASHEWS R&amp;S</v>
      </c>
      <c r="C15" s="50">
        <f>IFERROR(VLOOKUP(A15,'BRI Insert'!A:D,4,FALSE),MISC!A31)</f>
        <v>0</v>
      </c>
      <c r="E15" s="15">
        <v>1780</v>
      </c>
      <c r="F15" s="49" t="str">
        <f>IFERROR(VLOOKUP(E15,'BRI Insert'!A:C,3,FALSE),(VLOOKUP(E15,'Product Names BRI'!A:B,2,FALSE)))</f>
        <v>PECAN PIECES MEDIUM</v>
      </c>
      <c r="G15" s="49">
        <f>IFERROR(VLOOKUP(E15,'BRI Insert'!A:D,4,FALSE),MISC!A4)</f>
        <v>0.25</v>
      </c>
    </row>
    <row r="16" spans="1:7" x14ac:dyDescent="0.25">
      <c r="A16" s="15">
        <v>113</v>
      </c>
      <c r="B16" s="49" t="str">
        <f>IFERROR(VLOOKUP(A16,'BRI Insert'!A:C,3,FALSE),(VLOOKUP(A16,'Product Names BRI'!A:B,2,FALSE)))</f>
        <v>CASHEWS R&amp;S</v>
      </c>
      <c r="C16" s="50">
        <f>IFERROR(VLOOKUP(A16,'BRI Insert'!A:D,4,FALSE),MISC!A4)</f>
        <v>0.25</v>
      </c>
      <c r="E16" s="15">
        <v>1782</v>
      </c>
      <c r="F16" s="49" t="str">
        <f>IFERROR(VLOOKUP(E16,'BRI Insert'!A:C,3,FALSE),(VLOOKUP(E16,'Product Names BRI'!A:B,2,FALSE)))</f>
        <v>RAW MACADAMIA NUTS</v>
      </c>
      <c r="G16" s="49">
        <f>IFERROR(VLOOKUP(E16,'BRI Insert'!A:D,4,FALSE),MISC!A7)</f>
        <v>0</v>
      </c>
    </row>
    <row r="17" spans="1:7" x14ac:dyDescent="0.25">
      <c r="A17" s="15">
        <v>114</v>
      </c>
      <c r="B17" s="49" t="str">
        <f>IFERROR(VLOOKUP(A17,'BRI Insert'!A:C,3,FALSE),(VLOOKUP(A17,'Product Names BRI'!A:B,2,FALSE)))</f>
        <v>UNSALTED CASHEWS</v>
      </c>
      <c r="C17" s="50">
        <f>IFERROR(VLOOKUP(A17,'BRI Insert'!A:D,4,FALSE),MISC!A6)</f>
        <v>0.5</v>
      </c>
      <c r="E17" s="15">
        <v>1783</v>
      </c>
      <c r="F17" s="49" t="str">
        <f>IFERROR(VLOOKUP(E17,'BRI Insert'!A:C,3,FALSE),(VLOOKUP(E17,'Product Names BRI'!A:B,2,FALSE)))</f>
        <v>CHOPPED PEANUTS R, NO SALT</v>
      </c>
      <c r="G17" s="49">
        <f>IFERROR(VLOOKUP(E17,'BRI Insert'!A:D,4,FALSE),MISC!A20)</f>
        <v>0</v>
      </c>
    </row>
    <row r="18" spans="1:7" x14ac:dyDescent="0.25">
      <c r="A18" s="15">
        <v>115</v>
      </c>
      <c r="B18" s="49" t="str">
        <f>IFERROR(VLOOKUP(A18,'BRI Insert'!A:C,3,FALSE),(VLOOKUP(A18,'Product Names BRI'!A:B,2,FALSE)))</f>
        <v>UNSALTED CASHEW PIECES</v>
      </c>
      <c r="C18" s="50">
        <f>IFERROR(VLOOKUP(A18,'BRI Insert'!A:D,4,FALSE),MISC!A7)</f>
        <v>0.25</v>
      </c>
      <c r="E18" s="15">
        <v>1784</v>
      </c>
      <c r="F18" s="49" t="str">
        <f>IFERROR(VLOOKUP(E18,'BRI Insert'!A:C,3,FALSE),(VLOOKUP(E18,'Product Names BRI'!A:B,2,FALSE)))</f>
        <v>PINE NUTS, PIGNOLIAS</v>
      </c>
      <c r="G18" s="49">
        <f>IFERROR(VLOOKUP(E18,'BRI Insert'!A:D,4,FALSE),MISC!A21)</f>
        <v>0</v>
      </c>
    </row>
    <row r="19" spans="1:7" x14ac:dyDescent="0.25">
      <c r="A19" s="15">
        <v>117</v>
      </c>
      <c r="B19" s="49" t="str">
        <f>IFERROR(VLOOKUP(A19,'BRI Insert'!A:C,3,FALSE),(VLOOKUP(A19,'Product Names BRI'!A:B,2,FALSE)))</f>
        <v>UNSEASONED-PEANUTS DRY ROASTED</v>
      </c>
      <c r="C19" s="50">
        <f>IFERROR(VLOOKUP(A19,'BRI Insert'!A:D,4,FALSE),MISC!A22)</f>
        <v>0.5</v>
      </c>
      <c r="E19" s="15">
        <v>1785</v>
      </c>
      <c r="F19" s="49" t="str">
        <f>IFERROR(VLOOKUP(E19,'BRI Insert'!A:C,3,FALSE),(VLOOKUP(E19,'Product Names BRI'!A:B,2,FALSE)))</f>
        <v>PISTACHIO RAW SHELLED</v>
      </c>
      <c r="G19" s="49">
        <f>IFERROR(VLOOKUP(E19,'BRI Insert'!A:D,4,FALSE),MISC!A9)</f>
        <v>0</v>
      </c>
    </row>
    <row r="20" spans="1:7" x14ac:dyDescent="0.25">
      <c r="A20" s="15">
        <v>118</v>
      </c>
      <c r="B20" s="49" t="str">
        <f>IFERROR(VLOOKUP(A20,'BRI Insert'!A:C,3,FALSE),(VLOOKUP(A20,'Product Names BRI'!A:B,2,FALSE)))</f>
        <v>ALMONDS DRY ROASTED &amp; SALTED</v>
      </c>
      <c r="C20" s="50">
        <f>IFERROR(VLOOKUP(A20,'BRI Insert'!A:D,4,FALSE),MISC!A1)</f>
        <v>1</v>
      </c>
      <c r="E20" s="15">
        <v>1788</v>
      </c>
      <c r="F20" s="49" t="str">
        <f>IFERROR(VLOOKUP(E20,'BRI Insert'!A:C,3,FALSE),(VLOOKUP(E20,'Product Names BRI'!A:B,2,FALSE)))</f>
        <v>WHOLE ALMONDS, BLANCHED</v>
      </c>
      <c r="G20" s="49">
        <f>IFERROR(VLOOKUP(E20,'BRI Insert'!A:D,4,FALSE),MISC!A17)</f>
        <v>0</v>
      </c>
    </row>
    <row r="21" spans="1:7" x14ac:dyDescent="0.25">
      <c r="A21" s="15">
        <v>119</v>
      </c>
      <c r="B21" s="49" t="str">
        <f>IFERROR(VLOOKUP(A21,'BRI Insert'!A:C,3,FALSE),(VLOOKUP(A21,'Product Names BRI'!A:B,2,FALSE)))</f>
        <v>UNSALTED DELUXE MIXED NUTS N/P</v>
      </c>
      <c r="C21" s="50">
        <f>IFERROR(VLOOKUP(A21,'BRI Insert'!A:D,4,FALSE),MISC!A33)</f>
        <v>1.25</v>
      </c>
      <c r="E21" s="15">
        <v>1789</v>
      </c>
      <c r="F21" s="49" t="str">
        <f>IFERROR(VLOOKUP(E21,'BRI Insert'!A:C,3,FALSE),(VLOOKUP(E21,'Product Names BRI'!A:B,2,FALSE)))</f>
        <v>SLICED ALMONDS BLANCHED</v>
      </c>
      <c r="G21" s="49">
        <f>IFERROR(VLOOKUP(E21,'BRI Insert'!A:D,4,FALSE),MISC!A18)</f>
        <v>0.25</v>
      </c>
    </row>
    <row r="22" spans="1:7" x14ac:dyDescent="0.25">
      <c r="A22" s="15">
        <v>120</v>
      </c>
      <c r="B22" s="49" t="str">
        <f>IFERROR(VLOOKUP(A22,'BRI Insert'!A:C,3,FALSE),(VLOOKUP(A22,'Product Names BRI'!A:B,2,FALSE)))</f>
        <v>UNSALTED ALMONDS DRY ROASTED</v>
      </c>
      <c r="C22" s="50">
        <f>IFERROR(VLOOKUP(A22,'BRI Insert'!A:D,4,FALSE),MISC!A2)</f>
        <v>1.25</v>
      </c>
      <c r="E22" s="15">
        <v>1790</v>
      </c>
      <c r="F22" s="49" t="str">
        <f>IFERROR(VLOOKUP(E22,'BRI Insert'!A:C,3,FALSE),(VLOOKUP(E22,'Product Names BRI'!A:B,2,FALSE)))</f>
        <v>SLIVERED ALMONDS BLANCH</v>
      </c>
      <c r="G22" s="49">
        <f>IFERROR(VLOOKUP(E22,'BRI Insert'!A:D,4,FALSE),MISC!A37)</f>
        <v>0</v>
      </c>
    </row>
    <row r="23" spans="1:7" x14ac:dyDescent="0.25">
      <c r="A23" s="15">
        <v>122</v>
      </c>
      <c r="B23" s="49" t="str">
        <f>IFERROR(VLOOKUP(A23,'BRI Insert'!A:C,3,FALSE),(VLOOKUP(A23,'Product Names BRI'!A:B,2,FALSE)))</f>
        <v>MACADAMIA NUTS ROASTED &amp; SALTED</v>
      </c>
      <c r="C23" s="50">
        <f>IFERROR(VLOOKUP(A23,'BRI Insert'!A:D,4,FALSE),MISC!A5)</f>
        <v>0</v>
      </c>
      <c r="E23" s="15">
        <v>1792</v>
      </c>
      <c r="F23" s="49" t="str">
        <f>IFERROR(VLOOKUP(E23,'BRI Insert'!A:C,3,FALSE),(VLOOKUP(E23,'Product Names BRI'!A:B,2,FALSE)))</f>
        <v>GROUND ALMONDS BLANCHED</v>
      </c>
      <c r="G23" s="49">
        <f>IFERROR(VLOOKUP(E23,'BRI Insert'!A:D,4,FALSE),MISC!A19)</f>
        <v>0</v>
      </c>
    </row>
    <row r="24" spans="1:7" x14ac:dyDescent="0.25">
      <c r="A24" s="15">
        <v>123</v>
      </c>
      <c r="B24" s="49" t="str">
        <f>IFERROR(VLOOKUP(A24,'BRI Insert'!A:C,3,FALSE),(VLOOKUP(A24,'Product Names BRI'!A:B,2,FALSE)))</f>
        <v>DRY ROASTED SALTED CASHEWS</v>
      </c>
      <c r="C24" s="50">
        <f>IFERROR(VLOOKUP(A24,'BRI Insert'!A:D,4,FALSE),MISC!A37)</f>
        <v>1.5</v>
      </c>
      <c r="E24" s="15">
        <v>1799</v>
      </c>
      <c r="F24" s="49" t="str">
        <f>IFERROR(VLOOKUP(E24,'BRI Insert'!A:C,3,FALSE),(VLOOKUP(E24,'Product Names BRI'!A:B,2,FALSE)))</f>
        <v>CASHEW SPLITS FANCY RAW</v>
      </c>
      <c r="G24" s="49">
        <f>IFERROR(VLOOKUP(E24,'BRI Insert'!A:D,4,FALSE),MISC!A26)</f>
        <v>0.5</v>
      </c>
    </row>
    <row r="25" spans="1:7" x14ac:dyDescent="0.25">
      <c r="A25" s="15">
        <v>124</v>
      </c>
      <c r="B25" s="49" t="str">
        <f>IFERROR(VLOOKUP(A25,'BRI Insert'!A:C,3,FALSE),(VLOOKUP(A25,'Product Names BRI'!A:B,2,FALSE)))</f>
        <v>TAMARI ALMONDS</v>
      </c>
      <c r="C25" s="50">
        <f>IFERROR(VLOOKUP(A25,'BRI Insert'!A:D,4,FALSE),MISC!A3)</f>
        <v>0.25</v>
      </c>
      <c r="E25" s="15">
        <v>1813</v>
      </c>
      <c r="F25" s="49" t="str">
        <f>IFERROR(VLOOKUP(E25,'BRI Insert'!A:C,3,FALSE),(VLOOKUP(E25,'Product Names BRI'!A:B,2,FALSE)))</f>
        <v>M&amp;M'S MINI MILK CHOCOLATE</v>
      </c>
      <c r="G25" s="49">
        <f>IFERROR(VLOOKUP(E25,'BRI Insert'!A:D,4,FALSE),MISC!A16)</f>
        <v>0</v>
      </c>
    </row>
    <row r="26" spans="1:7" x14ac:dyDescent="0.25">
      <c r="A26" s="15">
        <v>125</v>
      </c>
      <c r="B26" s="49" t="str">
        <f>IFERROR(VLOOKUP(A26,'BRI Insert'!A:C,3,FALSE),(VLOOKUP(A26,'Product Names BRI'!A:B,2,FALSE)))</f>
        <v>DRY ROASTED UNSALT CASHEWS</v>
      </c>
      <c r="C26" s="50">
        <f>IFERROR(VLOOKUP(A26,'BRI Insert'!A:D,4,FALSE),MISC!A8)</f>
        <v>0.5</v>
      </c>
      <c r="E26" s="15">
        <v>2468</v>
      </c>
      <c r="F26" s="49" t="str">
        <f>IFERROR(VLOOKUP(E26,'BRI Insert'!A:C,3,FALSE),(VLOOKUP(E26,'Product Names BRI'!A:B,2,FALSE)))</f>
        <v>MIXED NUTS, HONEY ROASTED</v>
      </c>
      <c r="G26" s="49">
        <f>IFERROR(VLOOKUP(E26,'BRI Insert'!A:D,4,FALSE),MISC!A22)</f>
        <v>0</v>
      </c>
    </row>
    <row r="27" spans="1:7" x14ac:dyDescent="0.25">
      <c r="A27" s="15">
        <v>126</v>
      </c>
      <c r="B27" s="49" t="str">
        <f>IFERROR(VLOOKUP(A27,'BRI Insert'!A:C,3,FALSE),(VLOOKUP(A27,'Product Names BRI'!A:B,2,FALSE)))</f>
        <v>MEDITERRANEAN RED PISTACHIOS, DRY ROASTED &amp; SALTED</v>
      </c>
      <c r="C27" s="50">
        <f>IFERROR(VLOOKUP(A27,'BRI Insert'!A:D,4,FALSE),MISC!A30)</f>
        <v>0</v>
      </c>
      <c r="E27" s="15">
        <v>2480</v>
      </c>
      <c r="F27" s="54" t="str">
        <f>IFERROR(VLOOKUP(E27,'BRI Insert'!A:C,3,FALSE),(VLOOKUP(E27,'Product Names BRI'!A:B,2,FALSE)))</f>
        <v>MIXED NUTS WITH PEANUTS, ROASTED &amp; UNSALTED</v>
      </c>
      <c r="G27" s="49">
        <f>IFERROR(VLOOKUP(E27,'BRI Insert'!A:D,4,FALSE),MISC!A23)</f>
        <v>0</v>
      </c>
    </row>
    <row r="28" spans="1:7" x14ac:dyDescent="0.25">
      <c r="A28" s="15">
        <v>127</v>
      </c>
      <c r="B28" s="49" t="str">
        <f>IFERROR(VLOOKUP(A28,'BRI Insert'!A:C,3,FALSE),(VLOOKUP(A28,'Product Names BRI'!A:B,2,FALSE)))</f>
        <v>PISTACHIOS NAT. MEDITERRANEAN</v>
      </c>
      <c r="C28" s="50">
        <f>IFERROR(VLOOKUP(A28,'BRI Insert'!A:D,4,FALSE),MISC!A10)</f>
        <v>0.25</v>
      </c>
      <c r="E28" s="15">
        <v>2481</v>
      </c>
      <c r="F28" s="49" t="str">
        <f>IFERROR(VLOOKUP(E28,'BRI Insert'!A:C,3,FALSE),(VLOOKUP(E28,'Product Names BRI'!A:B,2,FALSE)))</f>
        <v>BBQ CASHEWS</v>
      </c>
      <c r="G28" s="49">
        <f>IFERROR(VLOOKUP(E28,'BRI Insert'!A:D,4,FALSE),MISC!A31)</f>
        <v>0</v>
      </c>
    </row>
    <row r="29" spans="1:7" x14ac:dyDescent="0.25">
      <c r="A29" s="15">
        <v>129</v>
      </c>
      <c r="B29" s="49" t="str">
        <f>IFERROR(VLOOKUP(A29,'BRI Insert'!A:C,3,FALSE),(VLOOKUP(A29,'Product Names BRI'!A:B,2,FALSE)))</f>
        <v>MIXED NUTS WITH PEANUTS</v>
      </c>
      <c r="C29" s="50">
        <f>IFERROR(VLOOKUP(A29,'BRI Insert'!A:D,4,FALSE),MISC!A34)</f>
        <v>1</v>
      </c>
      <c r="E29" s="15">
        <v>2540</v>
      </c>
      <c r="F29" s="49" t="str">
        <f>IFERROR(VLOOKUP(E29,'BRI Insert'!A:C,3,FALSE),(VLOOKUP(E29,'Product Names BRI'!A:B,2,FALSE)))</f>
        <v>RAW MIXED NUTS W/PEANUTS</v>
      </c>
      <c r="G29" s="49">
        <f>IFERROR(VLOOKUP(E29,'BRI Insert'!A:D,4,FALSE),MISC!A24)</f>
        <v>0</v>
      </c>
    </row>
    <row r="30" spans="1:7" x14ac:dyDescent="0.25">
      <c r="A30" s="15">
        <v>130</v>
      </c>
      <c r="B30" s="49" t="str">
        <f>IFERROR(VLOOKUP(A30,'BRI Insert'!A:C,3,FALSE),(VLOOKUP(A30,'Product Names BRI'!A:B,2,FALSE)))</f>
        <v>BLNCHED VIRGINIA PNUTS RST/NS</v>
      </c>
      <c r="C30" s="50">
        <f>IFERROR(VLOOKUP(A30,'BRI Insert'!A:D,4,FALSE),MISC!A9)</f>
        <v>0</v>
      </c>
      <c r="E30" s="15">
        <v>2678</v>
      </c>
      <c r="F30" s="49" t="str">
        <f>IFERROR(VLOOKUP(E30,'BRI Insert'!A:C,3,FALSE),(VLOOKUP(E30,'Product Names BRI'!A:B,2,FALSE)))</f>
        <v>GROUND ALMONDS NATURAL</v>
      </c>
      <c r="G30" s="49">
        <f>IFERROR(VLOOKUP(E30,'BRI Insert'!A:D,4,FALSE),MISC!A25)</f>
        <v>0</v>
      </c>
    </row>
    <row r="31" spans="1:7" x14ac:dyDescent="0.25">
      <c r="A31" s="15">
        <v>131</v>
      </c>
      <c r="B31" s="49" t="str">
        <f>IFERROR(VLOOKUP(A31,'BRI Insert'!A:C,3,FALSE),(VLOOKUP(A31,'Product Names BRI'!A:B,2,FALSE)))</f>
        <v>PRALINE NUT MIX</v>
      </c>
      <c r="C31" s="50">
        <f>IFERROR(VLOOKUP(A31,'BRI Insert'!A:D,4,FALSE),MISC!A28)</f>
        <v>0</v>
      </c>
      <c r="E31" s="15">
        <v>2718</v>
      </c>
      <c r="F31" s="49" t="str">
        <f>IFERROR(VLOOKUP(E31,'BRI Insert'!A:C,3,FALSE),(VLOOKUP(E31,'Product Names BRI'!A:B,2,FALSE)))</f>
        <v>MIXED NUTS, D.ROASTED, NO PEANUTS, UNSALTED</v>
      </c>
      <c r="G31" s="49">
        <f>IFERROR(VLOOKUP(E31,'BRI Insert'!A:D,4,FALSE),MISC!A5)</f>
        <v>0</v>
      </c>
    </row>
    <row r="32" spans="1:7" x14ac:dyDescent="0.25">
      <c r="A32" s="15">
        <v>132</v>
      </c>
      <c r="B32" s="49" t="str">
        <f>IFERROR(VLOOKUP(A32,'BRI Insert'!A:C,3,FALSE),(VLOOKUP(A32,'Product Names BRI'!A:B,2,FALSE)))</f>
        <v>BUTTERED PEANUTS BEER NUTS</v>
      </c>
      <c r="C32" s="50">
        <f>IFERROR(VLOOKUP(A32,'BRI Insert'!A:D,4,FALSE),MISC!A14)</f>
        <v>0</v>
      </c>
      <c r="E32" s="15">
        <v>2725</v>
      </c>
      <c r="F32" s="49" t="str">
        <f>IFERROR(VLOOKUP(E32,'BRI Insert'!A:C,3,FALSE),(VLOOKUP(E32,'Product Names BRI'!A:B,2,FALSE)))</f>
        <v>APPLE SPICE WALNUTS</v>
      </c>
      <c r="G32" s="49">
        <f>IFERROR(VLOOKUP(E32,'BRI Insert'!A:D,4,FALSE),MISC!A27)</f>
        <v>0</v>
      </c>
    </row>
    <row r="33" spans="1:7" x14ac:dyDescent="0.25">
      <c r="A33" s="15">
        <v>133</v>
      </c>
      <c r="B33" s="49" t="str">
        <f>IFERROR(VLOOKUP(A33,'BRI Insert'!A:C,3,FALSE),(VLOOKUP(A33,'Product Names BRI'!A:B,2,FALSE)))</f>
        <v>HICKORY SMOKED ALMONDS R&amp;S</v>
      </c>
      <c r="C33" s="50">
        <f>IFERROR(VLOOKUP(A33,'BRI Insert'!A:D,4,FALSE),MISC!A39)</f>
        <v>0</v>
      </c>
      <c r="E33" s="15">
        <v>2821</v>
      </c>
      <c r="F33" s="49" t="str">
        <f>IFERROR(VLOOKUP(E33,'BRI Insert'!A:C,3,FALSE),(VLOOKUP(E33,'Product Names BRI'!A:B,2,FALSE)))</f>
        <v>HONEY ROASTED SRIRACHA CASHEWS</v>
      </c>
      <c r="G33" s="49">
        <f>IFERROR(VLOOKUP(E33,'BRI Insert'!A:D,4,FALSE),MISC!A6)</f>
        <v>0</v>
      </c>
    </row>
    <row r="34" spans="1:7" x14ac:dyDescent="0.25">
      <c r="A34" s="15">
        <v>135</v>
      </c>
      <c r="B34" s="49" t="str">
        <f>IFERROR(VLOOKUP(A34,'BRI Insert'!A:C,3,FALSE),(VLOOKUP(A34,'Product Names BRI'!A:B,2,FALSE)))</f>
        <v>SUNFLOWER SEEDS HULL R&amp;S</v>
      </c>
      <c r="C34" s="50">
        <f>IFERROR(VLOOKUP(A34,'BRI Insert'!A:D,4,FALSE),MISC!A32)</f>
        <v>0</v>
      </c>
      <c r="E34" s="15">
        <v>2825</v>
      </c>
      <c r="F34" s="49" t="str">
        <f>IFERROR(VLOOKUP(E34,'BRI Insert'!A:C,3,FALSE),(VLOOKUP(E34,'Product Names BRI'!A:B,2,FALSE)))</f>
        <v>HERSHEY MINI REESE'S PIECES</v>
      </c>
      <c r="G34" s="49">
        <f>IFERROR(VLOOKUP(E34,'BRI Insert'!A:D,4,FALSE),MISC!A28)</f>
        <v>0</v>
      </c>
    </row>
    <row r="35" spans="1:7" x14ac:dyDescent="0.25">
      <c r="A35" s="15">
        <v>136</v>
      </c>
      <c r="B35" s="49" t="str">
        <f>IFERROR(VLOOKUP(A35,'BRI Insert'!A:C,3,FALSE),(VLOOKUP(A35,'Product Names BRI'!A:B,2,FALSE)))</f>
        <v>R&amp;S IN SHELL SUNFLOWER SEEDS</v>
      </c>
      <c r="C35" s="50">
        <f>IFERROR(VLOOKUP(A35,'BRI Insert'!A:D,4,FALSE),MISC!A16)</f>
        <v>0</v>
      </c>
      <c r="E35" s="15">
        <v>2826</v>
      </c>
      <c r="F35" s="49" t="str">
        <f>IFERROR(VLOOKUP(E35,'BRI Insert'!A:C,3,FALSE),(VLOOKUP(E35,'Product Names BRI'!A:B,2,FALSE)))</f>
        <v>NATURAL BRAZIL NUT PIECES</v>
      </c>
      <c r="G35" s="49">
        <f>IFERROR(VLOOKUP(E35,'BRI Insert'!A:D,4,FALSE),MISC!A3)</f>
        <v>0</v>
      </c>
    </row>
    <row r="36" spans="1:7" x14ac:dyDescent="0.25">
      <c r="A36" s="15">
        <v>137</v>
      </c>
      <c r="B36" s="49" t="str">
        <f>IFERROR(VLOOKUP(A36,'BRI Insert'!A:C,3,FALSE),(VLOOKUP(A36,'Product Names BRI'!A:B,2,FALSE)))</f>
        <v>SESAME HONEY ALMONDS</v>
      </c>
      <c r="C36" s="50">
        <f>IFERROR(VLOOKUP(A36,'BRI Insert'!A:D,4,FALSE),MISC!A36)</f>
        <v>0</v>
      </c>
      <c r="E36" s="15">
        <v>2878</v>
      </c>
      <c r="F36" s="49" t="str">
        <f>IFERROR(VLOOKUP(E36,'BRI Insert'!A:C,3,FALSE),(VLOOKUP(E36,'Product Names BRI'!A:B,2,FALSE)))</f>
        <v>BRAZIL NUTS, SALTED</v>
      </c>
      <c r="G36" s="49">
        <f>IFERROR(VLOOKUP(E36,'BRI Insert'!A:D,4,FALSE),MISC!A15)</f>
        <v>0</v>
      </c>
    </row>
    <row r="37" spans="1:7" x14ac:dyDescent="0.25">
      <c r="A37" s="15">
        <v>138</v>
      </c>
      <c r="B37" s="49" t="str">
        <f>IFERROR(VLOOKUP(A37,'BRI Insert'!A:C,3,FALSE),(VLOOKUP(A37,'Product Names BRI'!A:B,2,FALSE)))</f>
        <v>RAW IN SHELL SUNFLOWER SEEDS</v>
      </c>
      <c r="C37" s="50">
        <f>IFERROR(VLOOKUP(A37,'BRI Insert'!A:D,4,FALSE),MISC!A35)</f>
        <v>1</v>
      </c>
      <c r="E37" s="15">
        <v>2926</v>
      </c>
      <c r="F37" s="49" t="str">
        <f>IFERROR(VLOOKUP(E37,'BRI Insert'!A:C,3,FALSE),(VLOOKUP(E37,'Product Names BRI'!A:B,2,FALSE)))</f>
        <v>SALTED CARAMEL PEANUTS</v>
      </c>
      <c r="G37" s="49">
        <f>IFERROR(VLOOKUP(E37,'BRI Insert'!A:D,4,FALSE),MISC!A29)</f>
        <v>0</v>
      </c>
    </row>
    <row r="38" spans="1:7" x14ac:dyDescent="0.25">
      <c r="A38" s="15">
        <v>139</v>
      </c>
      <c r="B38" s="49" t="str">
        <f>IFERROR(VLOOKUP(A38,'BRI Insert'!A:C,3,FALSE),(VLOOKUP(A38,'Product Names BRI'!A:B,2,FALSE)))</f>
        <v>HULLED RAW SUNFLOWER SEEDS</v>
      </c>
      <c r="C38" s="50">
        <f>IFERROR(VLOOKUP(A38,'BRI Insert'!A:D,4,FALSE),MISC!A29)</f>
        <v>1.75</v>
      </c>
      <c r="E38" s="15">
        <v>3083</v>
      </c>
      <c r="F38" s="49" t="str">
        <f>IFERROR(VLOOKUP(E38,'BRI Insert'!A:C,3,FALSE),(VLOOKUP(E38,'Product Names BRI'!A:B,2,FALSE)))</f>
        <v>ORGANIC MAPLE FLAKES</v>
      </c>
      <c r="G38" s="49">
        <f>IFERROR(VLOOKUP(E38,'BRI Insert'!A:D,4,FALSE),MISC!A2)</f>
        <v>0</v>
      </c>
    </row>
    <row r="39" spans="1:7" x14ac:dyDescent="0.25">
      <c r="A39" s="15">
        <v>140</v>
      </c>
      <c r="B39" s="49" t="str">
        <f>IFERROR(VLOOKUP(A39,'BRI Insert'!A:C,3,FALSE),(VLOOKUP(A39,'Product Names BRI'!A:B,2,FALSE)))</f>
        <v>UNSALTED HULLED SUNFLOWER</v>
      </c>
      <c r="C39" s="50">
        <f>IFERROR(VLOOKUP(A39,'BRI Insert'!A:D,4,FALSE),MISC!A11)</f>
        <v>1</v>
      </c>
      <c r="E39" s="15">
        <v>3089</v>
      </c>
      <c r="F39" s="53" t="str">
        <f>IFERROR(VLOOKUP(E39,'BRI Insert'!A:C,3,FALSE),(VLOOKUP(E39,'Product Names BRI'!A:B,2,FALSE)))</f>
        <v>MIXED NUTS W/ MACADAMIA, PERI PERI FLAVOURED</v>
      </c>
      <c r="G39" s="49">
        <f>IFERROR(VLOOKUP(E39,'BRI Insert'!A:D,4,FALSE),MISC!A30)</f>
        <v>0</v>
      </c>
    </row>
    <row r="40" spans="1:7" x14ac:dyDescent="0.25">
      <c r="A40" s="15">
        <v>141</v>
      </c>
      <c r="B40" s="49" t="str">
        <f>IFERROR(VLOOKUP(A40,'BRI Insert'!A:C,3,FALSE),(VLOOKUP(A40,'Product Names BRI'!A:B,2,FALSE)))</f>
        <v>HONEY ROASTED CASHEWS</v>
      </c>
      <c r="C40" s="50">
        <f>IFERROR(VLOOKUP(A40,'BRI Insert'!A:D,4,FALSE),MISC!A17)</f>
        <v>0</v>
      </c>
      <c r="E40" s="15">
        <v>3090</v>
      </c>
      <c r="F40" s="49" t="str">
        <f>IFERROR(VLOOKUP(E40,'BRI Insert'!A:C,3,FALSE),(VLOOKUP(E40,'Product Names BRI'!A:B,2,FALSE)))</f>
        <v>SMOKEY BBQ ALMONDS</v>
      </c>
      <c r="G40" s="49">
        <f>IFERROR(VLOOKUP(E40,'BRI Insert'!A:D,4,FALSE),MISC!A32)</f>
        <v>0</v>
      </c>
    </row>
    <row r="41" spans="1:7" x14ac:dyDescent="0.25">
      <c r="A41" s="15">
        <v>163</v>
      </c>
      <c r="B41" s="49" t="str">
        <f>IFERROR(VLOOKUP(A41,'BRI Insert'!A:C,3,FALSE),(VLOOKUP(A41,'Product Names BRI'!A:B,2,FALSE)))</f>
        <v>NAT. PISTACHIOS UNSALTED MED.</v>
      </c>
      <c r="C41" s="50">
        <f>IFERROR(VLOOKUP(A41,'BRI Insert'!A:D,4,FALSE),MISC!A12)</f>
        <v>0.25</v>
      </c>
      <c r="E41" s="15" t="s">
        <v>1069</v>
      </c>
      <c r="F41" s="49" t="str">
        <f>IFERROR(VLOOKUP(E41,'BRI Insert'!A:C,3,FALSE),(VLOOKUP(E41,'Product Names BRI'!A:B,2,FALSE)))</f>
        <v>-</v>
      </c>
      <c r="G41" s="49">
        <f>IFERROR(VLOOKUP(E41,'BRI Insert'!A:D,4,FALSE),MISC!A33)</f>
        <v>0</v>
      </c>
    </row>
    <row r="42" spans="1:7" x14ac:dyDescent="0.25">
      <c r="A42" s="15">
        <v>182</v>
      </c>
      <c r="B42" s="49" t="str">
        <f>IFERROR(VLOOKUP(A42,'BRI Insert'!A:C,3,FALSE),(VLOOKUP(A42,'Product Names BRI'!A:B,2,FALSE)))</f>
        <v>INSHELL PEANUTS DRY R/UNSALT</v>
      </c>
      <c r="C42" s="50">
        <f>IFERROR(VLOOKUP(A42,'BRI Insert'!A:D,4,FALSE),MISC!A23)</f>
        <v>0.25</v>
      </c>
      <c r="E42" s="15" t="s">
        <v>1069</v>
      </c>
      <c r="F42" s="49" t="str">
        <f>IFERROR(VLOOKUP(E42,'BRI Insert'!A:C,3,FALSE),(VLOOKUP(E42,'Product Names BRI'!A:B,2,FALSE)))</f>
        <v>-</v>
      </c>
      <c r="G42" s="49">
        <f>IFERROR(VLOOKUP(E42,'BRI Insert'!A:D,4,FALSE),MISC!A34)</f>
        <v>0</v>
      </c>
    </row>
    <row r="43" spans="1:7" x14ac:dyDescent="0.25">
      <c r="A43" s="15">
        <v>183</v>
      </c>
      <c r="B43" s="49" t="str">
        <f>IFERROR(VLOOKUP(A43,'BRI Insert'!A:C,3,FALSE),(VLOOKUP(A43,'Product Names BRI'!A:B,2,FALSE)))</f>
        <v>IN SHELL PEANUTS RST &amp; SALTED</v>
      </c>
      <c r="C43" s="50">
        <f>IFERROR(VLOOKUP(A43,'BRI Insert'!A:D,4,FALSE),MISC!A24)</f>
        <v>1.25</v>
      </c>
      <c r="E43" s="15" t="s">
        <v>1069</v>
      </c>
      <c r="F43" s="49" t="str">
        <f>IFERROR(VLOOKUP(E43,'BRI Insert'!A:C,3,FALSE),(VLOOKUP(E43,'Product Names BRI'!A:B,2,FALSE)))</f>
        <v>-</v>
      </c>
      <c r="G43" s="49">
        <f>IFERROR(VLOOKUP(E43,'BRI Insert'!A:D,4,FALSE),MISC!A35)</f>
        <v>0</v>
      </c>
    </row>
    <row r="44" spans="1:7" x14ac:dyDescent="0.25">
      <c r="A44" s="15">
        <v>258</v>
      </c>
      <c r="B44" s="49" t="str">
        <f>IFERROR(VLOOKUP(A44,'BRI Insert'!A:C,3,FALSE),(VLOOKUP(A44,'Product Names BRI'!A:B,2,FALSE)))</f>
        <v>BAKING GUMS</v>
      </c>
      <c r="C44" s="50">
        <f>IFERROR(VLOOKUP(A44,'BRI Insert'!A:D,4,FALSE),MISC!A26)</f>
        <v>0</v>
      </c>
      <c r="E44" s="15" t="s">
        <v>1069</v>
      </c>
      <c r="F44" s="49" t="str">
        <f>IFERROR(VLOOKUP(E44,'BRI Insert'!A:C,3,FALSE),(VLOOKUP(E44,'Product Names BRI'!A:B,2,FALSE)))</f>
        <v>-</v>
      </c>
      <c r="G44" s="49">
        <f>IFERROR(VLOOKUP(E44,'BRI Insert'!A:D,4,FALSE),MISC!A36)</f>
        <v>0</v>
      </c>
    </row>
  </sheetData>
  <sortState ref="E6:G44">
    <sortCondition ref="E6"/>
  </sortState>
  <pageMargins left="0.4" right="0.25" top="0.75" bottom="0.75" header="0.3" footer="0.3"/>
  <pageSetup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3"/>
  <sheetViews>
    <sheetView topLeftCell="A13" workbookViewId="0">
      <selection activeCell="E5" sqref="E5:E43"/>
    </sheetView>
  </sheetViews>
  <sheetFormatPr defaultRowHeight="15" x14ac:dyDescent="0.25"/>
  <cols>
    <col min="1" max="1" width="7.5703125" customWidth="1"/>
    <col min="2" max="2" width="31.28515625" customWidth="1"/>
    <col min="3" max="3" width="7" customWidth="1"/>
    <col min="4" max="4" width="5.42578125" customWidth="1"/>
    <col min="6" max="6" width="31.42578125" customWidth="1"/>
    <col min="7" max="7" width="7.85546875" customWidth="1"/>
  </cols>
  <sheetData>
    <row r="1" spans="1:7" ht="44.25" x14ac:dyDescent="0.25">
      <c r="A1" s="30" t="s">
        <v>1089</v>
      </c>
      <c r="F1" s="3"/>
      <c r="G1" s="3"/>
    </row>
    <row r="2" spans="1:7" ht="24.75" x14ac:dyDescent="0.25">
      <c r="B2" s="2"/>
      <c r="C2" s="2"/>
      <c r="D2" s="2"/>
      <c r="E2" s="4"/>
      <c r="F2" s="3"/>
      <c r="G2" s="3"/>
    </row>
    <row r="3" spans="1:7" ht="20.25" thickBot="1" x14ac:dyDescent="0.3">
      <c r="A3" s="22" t="s">
        <v>861</v>
      </c>
      <c r="B3" s="23" t="s">
        <v>919</v>
      </c>
      <c r="C3" s="24" t="s">
        <v>0</v>
      </c>
      <c r="E3" s="22" t="s">
        <v>861</v>
      </c>
      <c r="F3" s="23" t="s">
        <v>919</v>
      </c>
      <c r="G3" s="24" t="s">
        <v>0</v>
      </c>
    </row>
    <row r="4" spans="1:7" x14ac:dyDescent="0.25">
      <c r="A4" s="3"/>
      <c r="B4" s="3"/>
      <c r="C4" s="3"/>
    </row>
    <row r="5" spans="1:7" x14ac:dyDescent="0.25">
      <c r="A5" s="15">
        <v>216</v>
      </c>
      <c r="B5" s="49" t="str">
        <f>IFERROR(VLOOKUP(A5,'BRI Insert'!A:C,3,FALSE),(VLOOKUP(A5,'Product Names BRI'!A:B,2,FALSE)))</f>
        <v>COCONUT PALM SUGAR ORGANIC</v>
      </c>
      <c r="C5" s="50">
        <f>IFERROR(VLOOKUP(A5,'BRI Insert'!A:D,4,FALSE),MISC!A20)</f>
        <v>1</v>
      </c>
      <c r="E5" s="15">
        <v>1767</v>
      </c>
      <c r="F5" s="49" t="str">
        <f>IFERROR(VLOOKUP(E5,'BRI Insert'!A:C,3,FALSE),(VLOOKUP(E5,'Product Names BRI'!A:B,2,FALSE)))</f>
        <v>MILK CHOCOLATE COATING</v>
      </c>
      <c r="G5" s="49">
        <f>IFERROR(VLOOKUP(E5,'BRI Insert'!A:D,4,FALSE),MISC!A1)</f>
        <v>0</v>
      </c>
    </row>
    <row r="6" spans="1:7" x14ac:dyDescent="0.25">
      <c r="A6" s="15">
        <v>240</v>
      </c>
      <c r="B6" s="49" t="str">
        <f>IFERROR(VLOOKUP(A6,'BRI Insert'!A:C,3,FALSE),(VLOOKUP(A6,'Product Names BRI'!A:B,2,FALSE)))</f>
        <v>SOURDOUGH FLOUR MIX(BREAD MCH)</v>
      </c>
      <c r="C6" s="50">
        <f>IFERROR(VLOOKUP(A6,'BRI Insert'!A:D,4,FALSE),MISC!A25)</f>
        <v>1</v>
      </c>
      <c r="E6" s="15">
        <v>1769</v>
      </c>
      <c r="F6" s="49" t="str">
        <f>IFERROR(VLOOKUP(E6,'BRI Insert'!A:C,3,FALSE),(VLOOKUP(E6,'Product Names BRI'!A:B,2,FALSE)))</f>
        <v>CHOCOLATE COMPOUND CHIPS</v>
      </c>
      <c r="G6" s="49">
        <f>IFERROR(VLOOKUP(E6,'BRI Insert'!A:D,4,FALSE),MISC!A13)</f>
        <v>0</v>
      </c>
    </row>
    <row r="7" spans="1:7" x14ac:dyDescent="0.25">
      <c r="A7" s="15">
        <v>254</v>
      </c>
      <c r="B7" s="49" t="str">
        <f>IFERROR(VLOOKUP(A7,'BRI Insert'!A:C,3,FALSE),(VLOOKUP(A7,'Product Names BRI'!A:B,2,FALSE)))</f>
        <v>UNBLEACHED ALL PURPOSE FLOUR</v>
      </c>
      <c r="C7" s="50">
        <f>IFERROR(VLOOKUP(A7,'BRI Insert'!A:D,4,FALSE),MISC!A21)</f>
        <v>1</v>
      </c>
      <c r="E7" s="15">
        <v>1770</v>
      </c>
      <c r="F7" s="49" t="str">
        <f>IFERROR(VLOOKUP(E7,'BRI Insert'!A:C,3,FALSE),(VLOOKUP(E7,'Product Names BRI'!A:B,2,FALSE)))</f>
        <v>CHOCOLATE SQUARES SEMI SWEET</v>
      </c>
      <c r="G7" s="49">
        <f>IFERROR(VLOOKUP(E7,'BRI Insert'!A:D,4,FALSE),MISC!A14)</f>
        <v>0</v>
      </c>
    </row>
    <row r="8" spans="1:7" x14ac:dyDescent="0.25">
      <c r="A8" s="15">
        <v>259</v>
      </c>
      <c r="B8" s="49" t="str">
        <f>IFERROR(VLOOKUP(A8,'BRI Insert'!A:C,3,FALSE),(VLOOKUP(A8,'Product Names BRI'!A:B,2,FALSE)))</f>
        <v>BAKE SODA</v>
      </c>
      <c r="C8" s="50">
        <f>IFERROR(VLOOKUP(A8,'BRI Insert'!A:D,4,FALSE),MISC!A13)</f>
        <v>0</v>
      </c>
      <c r="E8" s="15">
        <v>1794</v>
      </c>
      <c r="F8" s="49" t="str">
        <f>IFERROR(VLOOKUP(E8,'BRI Insert'!A:C,3,FALSE),(VLOOKUP(E8,'Product Names BRI'!A:B,2,FALSE)))</f>
        <v>MILK CHOCOLATE CHIPS</v>
      </c>
      <c r="G8" s="49">
        <f>IFERROR(VLOOKUP(E8,'BRI Insert'!A:D,4,FALSE),MISC!A12)</f>
        <v>0</v>
      </c>
    </row>
    <row r="9" spans="1:7" x14ac:dyDescent="0.25">
      <c r="A9" s="15">
        <v>261</v>
      </c>
      <c r="B9" s="49" t="str">
        <f>IFERROR(VLOOKUP(A9,'BRI Insert'!A:C,3,FALSE),(VLOOKUP(A9,'Product Names BRI'!A:B,2,FALSE)))</f>
        <v>BAKING POWDER (DOUBLE ACTION)</v>
      </c>
      <c r="C9" s="50">
        <f>IFERROR(VLOOKUP(A9,'BRI Insert'!A:D,4,FALSE),MISC!A27)</f>
        <v>0.75</v>
      </c>
      <c r="E9" s="15">
        <v>1795</v>
      </c>
      <c r="F9" s="49" t="str">
        <f>IFERROR(VLOOKUP(E9,'BRI Insert'!A:C,3,FALSE),(VLOOKUP(E9,'Product Names BRI'!A:B,2,FALSE)))</f>
        <v>WHITE CHOCOLATE SQUARES</v>
      </c>
      <c r="G9" s="49">
        <f>IFERROR(VLOOKUP(E9,'BRI Insert'!A:D,4,FALSE),MISC!A8)</f>
        <v>0</v>
      </c>
    </row>
    <row r="10" spans="1:7" x14ac:dyDescent="0.25">
      <c r="A10" s="15">
        <v>276</v>
      </c>
      <c r="B10" s="49" t="str">
        <f>IFERROR(VLOOKUP(A10,'BRI Insert'!A:C,3,FALSE),(VLOOKUP(A10,'Product Names BRI'!A:B,2,FALSE)))</f>
        <v>SELF RISING FLOUR</v>
      </c>
      <c r="C10" s="50">
        <f>IFERROR(VLOOKUP(A10,'BRI Insert'!A:D,4,FALSE),MISC!A4)</f>
        <v>0</v>
      </c>
      <c r="E10" s="15">
        <v>1800</v>
      </c>
      <c r="F10" s="49" t="str">
        <f>IFERROR(VLOOKUP(E10,'BRI Insert'!A:C,3,FALSE),(VLOOKUP(E10,'Product Names BRI'!A:B,2,FALSE)))</f>
        <v>ALPINE MOLDING WAFERS</v>
      </c>
      <c r="G10" s="49">
        <f>IFERROR(VLOOKUP(E10,'BRI Insert'!A:D,4,FALSE),MISC!A10)</f>
        <v>1</v>
      </c>
    </row>
    <row r="11" spans="1:7" x14ac:dyDescent="0.25">
      <c r="A11" s="15">
        <v>287</v>
      </c>
      <c r="B11" s="49" t="str">
        <f>IFERROR(VLOOKUP(A11,'BRI Insert'!A:C,3,FALSE),(VLOOKUP(A11,'Product Names BRI'!A:B,2,FALSE)))</f>
        <v>SPELT FLOUR ORGANIC</v>
      </c>
      <c r="C11" s="50">
        <f>IFERROR(VLOOKUP(A11,'BRI Insert'!A:D,4,FALSE),MISC!A8)</f>
        <v>0.25</v>
      </c>
      <c r="E11" s="15">
        <v>1801</v>
      </c>
      <c r="F11" s="49" t="str">
        <f>IFERROR(VLOOKUP(E11,'BRI Insert'!A:C,3,FALSE),(VLOOKUP(E11,'Product Names BRI'!A:B,2,FALSE)))</f>
        <v>ALPINE LIGHT MOLDING WAFERS</v>
      </c>
      <c r="G11" s="49">
        <f>IFERROR(VLOOKUP(E11,'BRI Insert'!A:D,4,FALSE),MISC!A4)</f>
        <v>0.75</v>
      </c>
    </row>
    <row r="12" spans="1:7" x14ac:dyDescent="0.25">
      <c r="A12" s="15">
        <v>298</v>
      </c>
      <c r="B12" s="49" t="str">
        <f>IFERROR(VLOOKUP(A12,'BRI Insert'!A:C,3,FALSE),(VLOOKUP(A12,'Product Names BRI'!A:B,2,FALSE)))</f>
        <v>DEXTROSE CORN SUGAR</v>
      </c>
      <c r="C12" s="50">
        <f>IFERROR(VLOOKUP(A12,'BRI Insert'!A:D,4,FALSE),MISC!A19)</f>
        <v>1</v>
      </c>
      <c r="E12" s="15">
        <v>1802</v>
      </c>
      <c r="F12" s="49" t="str">
        <f>IFERROR(VLOOKUP(E12,'BRI Insert'!A:C,3,FALSE),(VLOOKUP(E12,'Product Names BRI'!A:B,2,FALSE)))</f>
        <v>BELGIAN DARK CHOC. WAFERS</v>
      </c>
      <c r="G12" s="49">
        <f>IFERROR(VLOOKUP(E12,'BRI Insert'!A:D,4,FALSE),MISC!A7)</f>
        <v>0.25</v>
      </c>
    </row>
    <row r="13" spans="1:7" x14ac:dyDescent="0.25">
      <c r="A13" s="15">
        <v>299</v>
      </c>
      <c r="B13" s="49" t="str">
        <f>IFERROR(VLOOKUP(A13,'BRI Insert'!A:C,3,FALSE),(VLOOKUP(A13,'Product Names BRI'!A:B,2,FALSE)))</f>
        <v>TURBINADO BROWN SUGAR</v>
      </c>
      <c r="C13" s="50">
        <f>IFERROR(VLOOKUP(A13,'BRI Insert'!A:D,4,FALSE),MISC!A31)</f>
        <v>0</v>
      </c>
      <c r="E13" s="15">
        <v>1803</v>
      </c>
      <c r="F13" s="49" t="str">
        <f>IFERROR(VLOOKUP(E13,'BRI Insert'!A:C,3,FALSE),(VLOOKUP(E13,'Product Names BRI'!A:B,2,FALSE)))</f>
        <v>ALPINE WHITE MOLDING WAFERS</v>
      </c>
      <c r="G13" s="49">
        <f>IFERROR(VLOOKUP(E13,'BRI Insert'!A:D,4,FALSE),MISC!A20)</f>
        <v>0.25</v>
      </c>
    </row>
    <row r="14" spans="1:7" x14ac:dyDescent="0.25">
      <c r="A14" s="15">
        <v>300</v>
      </c>
      <c r="B14" s="49" t="str">
        <f>IFERROR(VLOOKUP(A14,'BRI Insert'!A:C,3,FALSE),(VLOOKUP(A14,'Product Names BRI'!A:B,2,FALSE)))</f>
        <v>DEMERARA SUGAR</v>
      </c>
      <c r="C14" s="50">
        <f>IFERROR(VLOOKUP(A14,'BRI Insert'!A:D,4,FALSE),MISC!A15)</f>
        <v>0</v>
      </c>
      <c r="E14" s="15">
        <v>1804</v>
      </c>
      <c r="F14" s="49" t="str">
        <f>IFERROR(VLOOKUP(E14,'BRI Insert'!A:C,3,FALSE),(VLOOKUP(E14,'Product Names BRI'!A:B,2,FALSE)))</f>
        <v>BELGIAN MILK CHOCOLATE WAFERS</v>
      </c>
      <c r="G14" s="49">
        <f>IFERROR(VLOOKUP(E14,'BRI Insert'!A:D,4,FALSE),MISC!A21)</f>
        <v>0</v>
      </c>
    </row>
    <row r="15" spans="1:7" x14ac:dyDescent="0.25">
      <c r="A15" s="15">
        <v>301</v>
      </c>
      <c r="B15" s="49" t="str">
        <f>IFERROR(VLOOKUP(A15,'BRI Insert'!A:C,3,FALSE),(VLOOKUP(A15,'Product Names BRI'!A:B,2,FALSE)))</f>
        <v>INSTANT DISSOLVE SUGAR</v>
      </c>
      <c r="C15" s="50">
        <f>IFERROR(VLOOKUP(A15,'BRI Insert'!A:D,4,FALSE),MISC!A18)</f>
        <v>0.25</v>
      </c>
      <c r="E15" s="15">
        <v>1805</v>
      </c>
      <c r="F15" s="49" t="str">
        <f>IFERROR(VLOOKUP(E15,'BRI Insert'!A:C,3,FALSE),(VLOOKUP(E15,'Product Names BRI'!A:B,2,FALSE)))</f>
        <v>BELGIAN WHITE CHOCOLATE WAFERS</v>
      </c>
      <c r="G15" s="49">
        <f>IFERROR(VLOOKUP(E15,'BRI Insert'!A:D,4,FALSE),MISC!A9)</f>
        <v>0</v>
      </c>
    </row>
    <row r="16" spans="1:7" x14ac:dyDescent="0.25">
      <c r="A16" s="15">
        <v>302</v>
      </c>
      <c r="B16" s="49" t="str">
        <f>IFERROR(VLOOKUP(A16,'BRI Insert'!A:C,3,FALSE),(VLOOKUP(A16,'Product Names BRI'!A:B,2,FALSE)))</f>
        <v>DARK BROWN SUGAR</v>
      </c>
      <c r="C16" s="50">
        <f>IFERROR(VLOOKUP(A16,'BRI Insert'!A:D,4,FALSE),MISC!A6)</f>
        <v>0</v>
      </c>
      <c r="E16" s="15">
        <v>1806</v>
      </c>
      <c r="F16" s="49" t="str">
        <f>IFERROR(VLOOKUP(E16,'BRI Insert'!A:C,3,FALSE),(VLOOKUP(E16,'Product Names BRI'!A:B,2,FALSE)))</f>
        <v>BELCOLADE BTRSWEET CHOC.WAFERS</v>
      </c>
      <c r="G16" s="49">
        <f>IFERROR(VLOOKUP(E16,'BRI Insert'!A:D,4,FALSE),MISC!A17)</f>
        <v>0</v>
      </c>
    </row>
    <row r="17" spans="1:7" x14ac:dyDescent="0.25">
      <c r="A17" s="15">
        <v>303</v>
      </c>
      <c r="B17" s="49" t="str">
        <f>IFERROR(VLOOKUP(A17,'BRI Insert'!A:C,3,FALSE),(VLOOKUP(A17,'Product Names BRI'!A:B,2,FALSE)))</f>
        <v>GOLDEN YELLOW SUGAR</v>
      </c>
      <c r="C17" s="50">
        <f>IFERROR(VLOOKUP(A17,'BRI Insert'!A:D,4,FALSE),MISC!A33)</f>
        <v>0.25</v>
      </c>
      <c r="E17" s="15">
        <v>1807</v>
      </c>
      <c r="F17" s="49" t="str">
        <f>IFERROR(VLOOKUP(E17,'BRI Insert'!A:C,3,FALSE),(VLOOKUP(E17,'Product Names BRI'!A:B,2,FALSE)))</f>
        <v>BELCOLADE MILK  CHOC.WAFERS</v>
      </c>
      <c r="G17" s="49">
        <f>IFERROR(VLOOKUP(E17,'BRI Insert'!A:D,4,FALSE),MISC!A18)</f>
        <v>0</v>
      </c>
    </row>
    <row r="18" spans="1:7" x14ac:dyDescent="0.25">
      <c r="A18" s="15">
        <v>304</v>
      </c>
      <c r="B18" s="49" t="str">
        <f>IFERROR(VLOOKUP(A18,'BRI Insert'!A:C,3,FALSE),(VLOOKUP(A18,'Product Names BRI'!A:B,2,FALSE)))</f>
        <v>ICING SUGAR</v>
      </c>
      <c r="C18" s="50">
        <f>IFERROR(VLOOKUP(A18,'BRI Insert'!A:D,4,FALSE),MISC!A2)</f>
        <v>0.75</v>
      </c>
      <c r="E18" s="15">
        <v>1808</v>
      </c>
      <c r="F18" s="49" t="str">
        <f>IFERROR(VLOOKUP(E18,'BRI Insert'!A:C,3,FALSE),(VLOOKUP(E18,'Product Names BRI'!A:B,2,FALSE)))</f>
        <v>COMPOUND MILK CHOC. WAFERS</v>
      </c>
      <c r="G18" s="49">
        <f>IFERROR(VLOOKUP(E18,'BRI Insert'!A:D,4,FALSE),MISC!A19)</f>
        <v>1</v>
      </c>
    </row>
    <row r="19" spans="1:7" x14ac:dyDescent="0.25">
      <c r="A19" s="15">
        <v>305</v>
      </c>
      <c r="B19" s="49" t="str">
        <f>IFERROR(VLOOKUP(A19,'BRI Insert'!A:C,3,FALSE),(VLOOKUP(A19,'Product Names BRI'!A:B,2,FALSE)))</f>
        <v>WHITE FINE SUGAR</v>
      </c>
      <c r="C19" s="50">
        <f>IFERROR(VLOOKUP(A19,'BRI Insert'!A:D,4,FALSE),MISC!A5)</f>
        <v>0</v>
      </c>
      <c r="E19" s="15">
        <v>1809</v>
      </c>
      <c r="F19" s="49" t="str">
        <f>IFERROR(VLOOKUP(E19,'BRI Insert'!A:C,3,FALSE),(VLOOKUP(E19,'Product Names BRI'!A:B,2,FALSE)))</f>
        <v>COMPOUND  DARK CHOCO WAFERS</v>
      </c>
      <c r="G19" s="49">
        <f>IFERROR(VLOOKUP(E19,'BRI Insert'!A:D,4,FALSE),MISC!A26)</f>
        <v>0</v>
      </c>
    </row>
    <row r="20" spans="1:7" x14ac:dyDescent="0.25">
      <c r="A20" s="15">
        <v>307</v>
      </c>
      <c r="B20" s="49" t="str">
        <f>IFERROR(VLOOKUP(A20,'BRI Insert'!A:C,3,FALSE),(VLOOKUP(A20,'Product Names BRI'!A:B,2,FALSE)))</f>
        <v>HARD WHOLE WHEAT FLOUR</v>
      </c>
      <c r="C20" s="50">
        <f>IFERROR(VLOOKUP(A20,'BRI Insert'!A:D,4,FALSE),MISC!A22)</f>
        <v>0.25</v>
      </c>
      <c r="E20" s="15">
        <v>1810</v>
      </c>
      <c r="F20" s="49" t="str">
        <f>IFERROR(VLOOKUP(E20,'BRI Insert'!A:C,3,FALSE),(VLOOKUP(E20,'Product Names BRI'!A:B,2,FALSE)))</f>
        <v>WHITE CONFECTIONARY COATING</v>
      </c>
      <c r="G20" s="49">
        <f>IFERROR(VLOOKUP(E20,'BRI Insert'!A:D,4,FALSE),MISC!A16)</f>
        <v>0</v>
      </c>
    </row>
    <row r="21" spans="1:7" x14ac:dyDescent="0.25">
      <c r="A21" s="15">
        <v>308</v>
      </c>
      <c r="B21" s="49" t="str">
        <f>IFERROR(VLOOKUP(A21,'BRI Insert'!A:C,3,FALSE),(VLOOKUP(A21,'Product Names BRI'!A:B,2,FALSE)))</f>
        <v>ORGANIC CANE SUGAR</v>
      </c>
      <c r="C21" s="50">
        <f>IFERROR(VLOOKUP(A21,'BRI Insert'!A:D,4,FALSE),MISC!A1)</f>
        <v>0</v>
      </c>
      <c r="E21" s="15">
        <v>1811</v>
      </c>
      <c r="F21" s="49" t="str">
        <f>IFERROR(VLOOKUP(E21,'BRI Insert'!A:C,3,FALSE),(VLOOKUP(E21,'Product Names BRI'!A:B,2,FALSE)))</f>
        <v>WHITE CHOCOLATE CHIPS</v>
      </c>
      <c r="G21" s="49">
        <f>IFERROR(VLOOKUP(E21,'BRI Insert'!A:D,4,FALSE),MISC!A22)</f>
        <v>0</v>
      </c>
    </row>
    <row r="22" spans="1:7" x14ac:dyDescent="0.25">
      <c r="A22" s="15">
        <v>309</v>
      </c>
      <c r="B22" s="49" t="str">
        <f>IFERROR(VLOOKUP(A22,'BRI Insert'!A:C,3,FALSE),(VLOOKUP(A22,'Product Names BRI'!A:B,2,FALSE)))</f>
        <v>RYE FLOUR DARK - STONE GRD</v>
      </c>
      <c r="C22" s="50">
        <f>IFERROR(VLOOKUP(A22,'BRI Insert'!A:D,4,FALSE),MISC!A7)</f>
        <v>0.5</v>
      </c>
      <c r="E22" s="15">
        <v>1812</v>
      </c>
      <c r="F22" s="49" t="str">
        <f>IFERROR(VLOOKUP(E22,'BRI Insert'!A:C,3,FALSE),(VLOOKUP(E22,'Product Names BRI'!A:B,2,FALSE)))</f>
        <v>ALPINE BLUE MOLDING WAFERS</v>
      </c>
      <c r="G22" s="49">
        <f>IFERROR(VLOOKUP(E22,'BRI Insert'!A:D,4,FALSE),MISC!A23)</f>
        <v>0.25</v>
      </c>
    </row>
    <row r="23" spans="1:7" x14ac:dyDescent="0.25">
      <c r="A23" s="15">
        <v>310</v>
      </c>
      <c r="B23" s="49" t="str">
        <f>IFERROR(VLOOKUP(A23,'BRI Insert'!A:C,3,FALSE),(VLOOKUP(A23,'Product Names BRI'!A:B,2,FALSE)))</f>
        <v>ALL PURPOSE FIVE ROSE FLOUR</v>
      </c>
      <c r="C23" s="50">
        <f>IFERROR(VLOOKUP(A23,'BRI Insert'!A:D,4,FALSE),MISC!A37)</f>
        <v>0.5</v>
      </c>
      <c r="E23" s="15">
        <v>1815</v>
      </c>
      <c r="F23" s="49" t="str">
        <f>IFERROR(VLOOKUP(E23,'BRI Insert'!A:C,3,FALSE),(VLOOKUP(E23,'Product Names BRI'!A:B,2,FALSE)))</f>
        <v>MERCKENS ORCHID MOLDING WAFERS</v>
      </c>
      <c r="G23" s="49">
        <f>IFERROR(VLOOKUP(E23,'BRI Insert'!A:D,4,FALSE),MISC!A24)</f>
        <v>0</v>
      </c>
    </row>
    <row r="24" spans="1:7" x14ac:dyDescent="0.25">
      <c r="A24" s="15">
        <v>311</v>
      </c>
      <c r="B24" s="49" t="str">
        <f>IFERROR(VLOOKUP(A24,'BRI Insert'!A:C,3,FALSE),(VLOOKUP(A24,'Product Names BRI'!A:B,2,FALSE)))</f>
        <v>CAKE &amp; PASTRY FLOUR</v>
      </c>
      <c r="C24" s="50">
        <f>IFERROR(VLOOKUP(A24,'BRI Insert'!A:D,4,FALSE),MISC!A38)</f>
        <v>0.5</v>
      </c>
      <c r="E24" s="15">
        <v>1816</v>
      </c>
      <c r="F24" s="49" t="str">
        <f>IFERROR(VLOOKUP(E24,'BRI Insert'!A:C,3,FALSE),(VLOOKUP(E24,'Product Names BRI'!A:B,2,FALSE)))</f>
        <v>MERCKENS PINK MOLDING WAFERS</v>
      </c>
      <c r="G24" s="49">
        <f>IFERROR(VLOOKUP(E24,'BRI Insert'!A:D,4,FALSE),MISC!A25)</f>
        <v>0</v>
      </c>
    </row>
    <row r="25" spans="1:7" x14ac:dyDescent="0.25">
      <c r="A25" s="15">
        <v>316</v>
      </c>
      <c r="B25" s="49" t="str">
        <f>IFERROR(VLOOKUP(A25,'BRI Insert'!A:C,3,FALSE),(VLOOKUP(A25,'Product Names BRI'!A:B,2,FALSE)))</f>
        <v>ORGANIC LIGHT BUCKWHEAT FLOUR</v>
      </c>
      <c r="C25" s="50">
        <f>IFERROR(VLOOKUP(A25,'BRI Insert'!A:D,4,FALSE),MISC!A29)</f>
        <v>0</v>
      </c>
      <c r="E25" s="15">
        <v>1817</v>
      </c>
      <c r="F25" s="49" t="str">
        <f>IFERROR(VLOOKUP(E25,'BRI Insert'!A:C,3,FALSE),(VLOOKUP(E25,'Product Names BRI'!A:B,2,FALSE)))</f>
        <v>ALPINE YELLOW MOLDING WAFERS</v>
      </c>
      <c r="G25" s="49">
        <f>IFERROR(VLOOKUP(E25,'BRI Insert'!A:D,4,FALSE),MISC!A5)</f>
        <v>0.25</v>
      </c>
    </row>
    <row r="26" spans="1:7" x14ac:dyDescent="0.25">
      <c r="A26" s="15">
        <v>321</v>
      </c>
      <c r="B26" s="49" t="str">
        <f>IFERROR(VLOOKUP(A26,'BRI Insert'!A:C,3,FALSE),(VLOOKUP(A26,'Product Names BRI'!A:B,2,FALSE)))</f>
        <v>BUCKWHEAT -DARK FLOUR</v>
      </c>
      <c r="C26" s="50">
        <f>IFERROR(VLOOKUP(A26,'BRI Insert'!A:D,4,FALSE),MISC!A3)</f>
        <v>1</v>
      </c>
      <c r="E26" s="15">
        <v>1818</v>
      </c>
      <c r="F26" s="49" t="str">
        <f>IFERROR(VLOOKUP(E26,'BRI Insert'!A:C,3,FALSE),(VLOOKUP(E26,'Product Names BRI'!A:B,2,FALSE)))</f>
        <v>ALPINE ORANGE MOLDING WAFERS</v>
      </c>
      <c r="G26" s="49">
        <f>IFERROR(VLOOKUP(E26,'BRI Insert'!A:D,4,FALSE),MISC!A6)</f>
        <v>0</v>
      </c>
    </row>
    <row r="27" spans="1:7" x14ac:dyDescent="0.25">
      <c r="A27" s="15">
        <v>330</v>
      </c>
      <c r="B27" s="49" t="str">
        <f>IFERROR(VLOOKUP(A27,'BRI Insert'!A:C,3,FALSE),(VLOOKUP(A27,'Product Names BRI'!A:B,2,FALSE)))</f>
        <v>OAT FLOUR</v>
      </c>
      <c r="C27" s="50">
        <f>IFERROR(VLOOKUP(A27,'BRI Insert'!A:D,4,FALSE),MISC!A16)</f>
        <v>0.25</v>
      </c>
      <c r="E27" s="15">
        <v>1819</v>
      </c>
      <c r="F27" s="49" t="str">
        <f>IFERROR(VLOOKUP(E27,'BRI Insert'!A:C,3,FALSE),(VLOOKUP(E27,'Product Names BRI'!A:B,2,FALSE)))</f>
        <v>ALPINE RED MOLDING WAFERS</v>
      </c>
      <c r="G27" s="49">
        <f>IFERROR(VLOOKUP(E27,'BRI Insert'!A:D,4,FALSE),MISC!A3)</f>
        <v>0.25</v>
      </c>
    </row>
    <row r="28" spans="1:7" x14ac:dyDescent="0.25">
      <c r="A28" s="15">
        <v>331</v>
      </c>
      <c r="B28" s="49" t="str">
        <f>IFERROR(VLOOKUP(A28,'BRI Insert'!A:C,3,FALSE),(VLOOKUP(A28,'Product Names BRI'!A:B,2,FALSE)))</f>
        <v>UNBLEACHED - HARD FLOUR</v>
      </c>
      <c r="C28" s="50">
        <f>IFERROR(VLOOKUP(A28,'BRI Insert'!A:D,4,FALSE),MISC!A30)</f>
        <v>1.25</v>
      </c>
      <c r="E28" s="15">
        <v>1820</v>
      </c>
      <c r="F28" s="49" t="str">
        <f>IFERROR(VLOOKUP(E28,'BRI Insert'!A:C,3,FALSE),(VLOOKUP(E28,'Product Names BRI'!A:B,2,FALSE)))</f>
        <v>ALPINE COLOURED MOLDING WAFERS</v>
      </c>
      <c r="G28" s="49">
        <f>IFERROR(VLOOKUP(E28,'BRI Insert'!A:D,4,FALSE),MISC!A15)</f>
        <v>0.25</v>
      </c>
    </row>
    <row r="29" spans="1:7" x14ac:dyDescent="0.25">
      <c r="A29" s="15">
        <v>332</v>
      </c>
      <c r="B29" s="49" t="str">
        <f>IFERROR(VLOOKUP(A29,'BRI Insert'!A:C,3,FALSE),(VLOOKUP(A29,'Product Names BRI'!A:B,2,FALSE)))</f>
        <v>UNBLEACHED - SOFT FLOUR</v>
      </c>
      <c r="C29" s="50">
        <f>IFERROR(VLOOKUP(A29,'BRI Insert'!A:D,4,FALSE),MISC!A10)</f>
        <v>0</v>
      </c>
      <c r="E29" s="15">
        <v>2238</v>
      </c>
      <c r="F29" s="49" t="str">
        <f>IFERROR(VLOOKUP(E29,'BRI Insert'!A:C,3,FALSE),(VLOOKUP(E29,'Product Names BRI'!A:B,2,FALSE)))</f>
        <v>LEMON BAKING CHIPS</v>
      </c>
      <c r="G29" s="49">
        <f>IFERROR(VLOOKUP(E29,'BRI Insert'!A:D,4,FALSE),MISC!A2)</f>
        <v>0</v>
      </c>
    </row>
    <row r="30" spans="1:7" x14ac:dyDescent="0.25">
      <c r="A30" s="15">
        <v>334</v>
      </c>
      <c r="B30" s="49" t="str">
        <f>IFERROR(VLOOKUP(A30,'BRI Insert'!A:C,3,FALSE),(VLOOKUP(A30,'Product Names BRI'!A:B,2,FALSE)))</f>
        <v>BARLEY STONE GROUND</v>
      </c>
      <c r="C30" s="50">
        <f>IFERROR(VLOOKUP(A30,'BRI Insert'!A:D,4,FALSE),MISC!A34)</f>
        <v>0.5</v>
      </c>
      <c r="E30" s="15">
        <v>2473</v>
      </c>
      <c r="F30" s="49" t="str">
        <f>IFERROR(VLOOKUP(E30,'BRI Insert'!A:C,3,FALSE),(VLOOKUP(E30,'Product Names BRI'!A:B,2,FALSE)))</f>
        <v>ORG.WHOLE WHEAT BREAD FLOUR</v>
      </c>
      <c r="G30" s="49">
        <f>IFERROR(VLOOKUP(E30,'BRI Insert'!A:D,4,FALSE),MISC!A11)</f>
        <v>0.25</v>
      </c>
    </row>
    <row r="31" spans="1:7" x14ac:dyDescent="0.25">
      <c r="A31" s="15">
        <v>335</v>
      </c>
      <c r="B31" s="49" t="str">
        <f>IFERROR(VLOOKUP(A31,'BRI Insert'!A:C,3,FALSE),(VLOOKUP(A31,'Product Names BRI'!A:B,2,FALSE)))</f>
        <v>SEMOLINA DURUM</v>
      </c>
      <c r="C31" s="50">
        <f>IFERROR(VLOOKUP(A31,'BRI Insert'!A:D,4,FALSE),MISC!A9)</f>
        <v>0</v>
      </c>
      <c r="E31" s="15">
        <v>2516</v>
      </c>
      <c r="F31" s="49" t="str">
        <f>IFERROR(VLOOKUP(E31,'BRI Insert'!A:C,3,FALSE),(VLOOKUP(E31,'Product Names BRI'!A:B,2,FALSE)))</f>
        <v>ALPINE ROYAL BLUE MOLD.WAFER</v>
      </c>
      <c r="G31" s="49">
        <f>IFERROR(VLOOKUP(E31,'BRI Insert'!A:D,4,FALSE),MISC!A37)</f>
        <v>0</v>
      </c>
    </row>
    <row r="32" spans="1:7" x14ac:dyDescent="0.25">
      <c r="A32" s="15">
        <v>337</v>
      </c>
      <c r="B32" s="49" t="str">
        <f>IFERROR(VLOOKUP(A32,'BRI Insert'!A:C,3,FALSE),(VLOOKUP(A32,'Product Names BRI'!A:B,2,FALSE)))</f>
        <v>12 GRAIN FLOUR</v>
      </c>
      <c r="C32" s="50">
        <f>IFERROR(VLOOKUP(A32,'BRI Insert'!A:D,4,FALSE),MISC!A28)</f>
        <v>0.25</v>
      </c>
      <c r="E32" s="15">
        <v>2517</v>
      </c>
      <c r="F32" s="49" t="str">
        <f>IFERROR(VLOOKUP(E32,'BRI Insert'!A:C,3,FALSE),(VLOOKUP(E32,'Product Names BRI'!A:B,2,FALSE)))</f>
        <v>GREEK YOGURT BAKING CHIPS</v>
      </c>
      <c r="G32" s="49">
        <f>IFERROR(VLOOKUP(E32,'BRI Insert'!A:D,4,FALSE),MISC!A38)</f>
        <v>0</v>
      </c>
    </row>
    <row r="33" spans="1:7" x14ac:dyDescent="0.25">
      <c r="A33" s="15">
        <v>340</v>
      </c>
      <c r="B33" s="49" t="str">
        <f>IFERROR(VLOOKUP(A33,'BRI Insert'!A:C,3,FALSE),(VLOOKUP(A33,'Product Names BRI'!A:B,2,FALSE)))</f>
        <v>SOFT WHOLE WHEAT FLOUR</v>
      </c>
      <c r="C33" s="50">
        <f>IFERROR(VLOOKUP(A33,'BRI Insert'!A:D,4,FALSE),MISC!A14)</f>
        <v>0</v>
      </c>
      <c r="E33" s="15">
        <v>2696</v>
      </c>
      <c r="F33" s="49" t="str">
        <f>IFERROR(VLOOKUP(E33,'BRI Insert'!A:C,3,FALSE),(VLOOKUP(E33,'Product Names BRI'!A:B,2,FALSE)))</f>
        <v>ORGANIC RAW CACAO NIBS</v>
      </c>
      <c r="G33" s="49">
        <f>IFERROR(VLOOKUP(E33,'BRI Insert'!A:D,4,FALSE),MISC!A39)</f>
        <v>0</v>
      </c>
    </row>
    <row r="34" spans="1:7" x14ac:dyDescent="0.25">
      <c r="A34" s="15">
        <v>341</v>
      </c>
      <c r="B34" s="49" t="str">
        <f>IFERROR(VLOOKUP(A34,'BRI Insert'!A:C,3,FALSE),(VLOOKUP(A34,'Product Names BRI'!A:B,2,FALSE)))</f>
        <v>CHICK PEA FLOUR</v>
      </c>
      <c r="C34" s="50">
        <f>IFERROR(VLOOKUP(A34,'BRI Insert'!A:D,4,FALSE),MISC!A39)</f>
        <v>0.5</v>
      </c>
      <c r="E34" s="15">
        <v>2730</v>
      </c>
      <c r="F34" s="49" t="str">
        <f>IFERROR(VLOOKUP(E34,'BRI Insert'!A:C,3,FALSE),(VLOOKUP(E34,'Product Names BRI'!A:B,2,FALSE)))</f>
        <v>ORG. SPROUTED SPELT FLOUR</v>
      </c>
      <c r="G34" s="49">
        <f>IFERROR(VLOOKUP(E34,'BRI Insert'!A:D,4,FALSE),MISC!A27)</f>
        <v>0.25</v>
      </c>
    </row>
    <row r="35" spans="1:7" x14ac:dyDescent="0.25">
      <c r="A35" s="15">
        <v>342</v>
      </c>
      <c r="B35" s="49" t="str">
        <f>IFERROR(VLOOKUP(A35,'BRI Insert'!A:C,3,FALSE),(VLOOKUP(A35,'Product Names BRI'!A:B,2,FALSE)))</f>
        <v>GLUTEN FLOUR</v>
      </c>
      <c r="C35" s="50">
        <f>IFERROR(VLOOKUP(A35,'BRI Insert'!A:D,4,FALSE),MISC!A32)</f>
        <v>0.5</v>
      </c>
      <c r="E35" s="15">
        <v>2731</v>
      </c>
      <c r="F35" s="49" t="str">
        <f>IFERROR(VLOOKUP(E35,'BRI Insert'!A:C,3,FALSE),(VLOOKUP(E35,'Product Names BRI'!A:B,2,FALSE)))</f>
        <v>ORG. SPROUTED BUCKWHEAT FLOUR</v>
      </c>
      <c r="G35" s="49">
        <f>IFERROR(VLOOKUP(E35,'BRI Insert'!A:D,4,FALSE),MISC!A28)</f>
        <v>0</v>
      </c>
    </row>
    <row r="36" spans="1:7" x14ac:dyDescent="0.25">
      <c r="A36" s="15">
        <v>346</v>
      </c>
      <c r="B36" s="49" t="str">
        <f>IFERROR(VLOOKUP(A36,'BRI Insert'!A:C,3,FALSE),(VLOOKUP(A36,'Product Names BRI'!A:B,2,FALSE)))</f>
        <v>WHITE FLOUR MIX (BREAD MACH)</v>
      </c>
      <c r="C36" s="50">
        <f>IFERROR(VLOOKUP(A36,'BRI Insert'!A:D,4,FALSE),MISC!A36)</f>
        <v>0.5</v>
      </c>
      <c r="E36" s="15">
        <v>2732</v>
      </c>
      <c r="F36" s="49" t="str">
        <f>IFERROR(VLOOKUP(E36,'BRI Insert'!A:C,3,FALSE),(VLOOKUP(E36,'Product Names BRI'!A:B,2,FALSE)))</f>
        <v>ORG SPROUTED WHOLE WHEAT FLOUR</v>
      </c>
      <c r="G36" s="49">
        <f>IFERROR(VLOOKUP(E36,'BRI Insert'!A:D,4,FALSE),MISC!A29)</f>
        <v>0</v>
      </c>
    </row>
    <row r="37" spans="1:7" x14ac:dyDescent="0.25">
      <c r="A37" s="15">
        <v>347</v>
      </c>
      <c r="B37" s="49" t="str">
        <f>IFERROR(VLOOKUP(A37,'BRI Insert'!A:C,3,FALSE),(VLOOKUP(A37,'Product Names BRI'!A:B,2,FALSE)))</f>
        <v>WHOLE WHEAT BREAD MACH FLOUR</v>
      </c>
      <c r="C37" s="50">
        <f>IFERROR(VLOOKUP(A37,'BRI Insert'!A:D,4,FALSE),MISC!A35)</f>
        <v>0</v>
      </c>
      <c r="E37" s="15">
        <v>2770</v>
      </c>
      <c r="F37" s="49" t="str">
        <f>IFERROR(VLOOKUP(E37,'BRI Insert'!A:C,3,FALSE),(VLOOKUP(E37,'Product Names BRI'!A:B,2,FALSE)))</f>
        <v>BELCOLADE WHITE CHOCO WAFERS</v>
      </c>
      <c r="G37" s="49">
        <f>IFERROR(VLOOKUP(E37,'BRI Insert'!A:D,4,FALSE),MISC!A30)</f>
        <v>0</v>
      </c>
    </row>
    <row r="38" spans="1:7" x14ac:dyDescent="0.25">
      <c r="A38" s="15">
        <v>1760</v>
      </c>
      <c r="B38" s="49" t="str">
        <f>IFERROR(VLOOKUP(A38,'BRI Insert'!A:C,3,FALSE),(VLOOKUP(A38,'Product Names BRI'!A:B,2,FALSE)))</f>
        <v>CHOCOLATE CHIPS SEMI SWEET</v>
      </c>
      <c r="C38" s="50">
        <f>IFERROR(VLOOKUP(A38,'BRI Insert'!A:D,4,FALSE),MISC!A11)</f>
        <v>0</v>
      </c>
      <c r="E38" s="15">
        <v>2900</v>
      </c>
      <c r="F38" s="49" t="str">
        <f>IFERROR(VLOOKUP(E38,'BRI Insert'!A:C,3,FALSE),(VLOOKUP(E38,'Product Names BRI'!A:B,2,FALSE)))</f>
        <v>WHITE WHOLE WHEAT FLOUR UNBL.</v>
      </c>
      <c r="G38" s="49">
        <f>IFERROR(VLOOKUP(E38,'BRI Insert'!A:D,4,FALSE),MISC!A31)</f>
        <v>0.25</v>
      </c>
    </row>
    <row r="39" spans="1:7" x14ac:dyDescent="0.25">
      <c r="A39" s="15">
        <v>1761</v>
      </c>
      <c r="B39" s="49" t="str">
        <f>IFERROR(VLOOKUP(A39,'BRI Insert'!A:C,3,FALSE),(VLOOKUP(A39,'Product Names BRI'!A:B,2,FALSE)))</f>
        <v>JUMBO COMPOUND CHIPS</v>
      </c>
      <c r="C39" s="50">
        <f>IFERROR(VLOOKUP(A39,'BRI Insert'!A:D,4,FALSE),MISC!A17)</f>
        <v>0</v>
      </c>
      <c r="E39" s="15">
        <v>3094</v>
      </c>
      <c r="F39" s="49" t="str">
        <f>IFERROR(VLOOKUP(E39,'BRI Insert'!A:C,3,FALSE),(VLOOKUP(E39,'Product Names BRI'!A:B,2,FALSE)))</f>
        <v>CALLEBAUT CALLETS - DARK CHOCOLATE</v>
      </c>
      <c r="G39" s="49">
        <f>IFERROR(VLOOKUP(E39,'BRI Insert'!A:D,4,FALSE),MISC!A32)</f>
        <v>0</v>
      </c>
    </row>
    <row r="40" spans="1:7" x14ac:dyDescent="0.25">
      <c r="A40" s="15">
        <v>1762</v>
      </c>
      <c r="B40" s="49" t="str">
        <f>IFERROR(VLOOKUP(A40,'BRI Insert'!A:C,3,FALSE),(VLOOKUP(A40,'Product Names BRI'!A:B,2,FALSE)))</f>
        <v>BUTTERSCOTCH CHIPS</v>
      </c>
      <c r="C40" s="50">
        <f>IFERROR(VLOOKUP(A40,'BRI Insert'!A:D,4,FALSE),MISC!A23)</f>
        <v>0.25</v>
      </c>
      <c r="E40" s="15">
        <v>3095</v>
      </c>
      <c r="F40" s="49" t="str">
        <f>IFERROR(VLOOKUP(E40,'BRI Insert'!A:C,3,FALSE),(VLOOKUP(E40,'Product Names BRI'!A:B,2,FALSE)))</f>
        <v>CALLEBAUT CALLETS - MILK CHOCOLATE</v>
      </c>
      <c r="G40" s="49">
        <f>IFERROR(VLOOKUP(E40,'BRI Insert'!A:D,4,FALSE),MISC!A33)</f>
        <v>0</v>
      </c>
    </row>
    <row r="41" spans="1:7" x14ac:dyDescent="0.25">
      <c r="A41" s="15">
        <v>1764</v>
      </c>
      <c r="B41" s="49" t="str">
        <f>IFERROR(VLOOKUP(A41,'BRI Insert'!A:C,3,FALSE),(VLOOKUP(A41,'Product Names BRI'!A:B,2,FALSE)))</f>
        <v>CAROB CHIPS</v>
      </c>
      <c r="C41" s="50">
        <f>IFERROR(VLOOKUP(A41,'BRI Insert'!A:D,4,FALSE),MISC!A24)</f>
        <v>0</v>
      </c>
      <c r="E41" s="15" t="s">
        <v>1069</v>
      </c>
      <c r="F41" s="49" t="str">
        <f>IFERROR(VLOOKUP(E41,'BRI Insert'!A:C,3,FALSE),(VLOOKUP(E41,'Product Names BRI'!A:B,2,FALSE)))</f>
        <v>-</v>
      </c>
      <c r="G41" s="49">
        <f>IFERROR(VLOOKUP(E41,'BRI Insert'!A:D,4,FALSE),MISC!A34)</f>
        <v>0</v>
      </c>
    </row>
    <row r="42" spans="1:7" x14ac:dyDescent="0.25">
      <c r="A42" s="15">
        <v>1765</v>
      </c>
      <c r="B42" s="49" t="str">
        <f>IFERROR(VLOOKUP(A42,'BRI Insert'!A:C,3,FALSE),(VLOOKUP(A42,'Product Names BRI'!A:B,2,FALSE)))</f>
        <v>CHOCOLATE SQUARES UNSWEETENED</v>
      </c>
      <c r="C42" s="50">
        <f>IFERROR(VLOOKUP(A42,'BRI Insert'!A:D,4,FALSE),MISC!A26)</f>
        <v>0.25</v>
      </c>
      <c r="E42" s="15" t="s">
        <v>1069</v>
      </c>
      <c r="F42" s="49" t="str">
        <f>IFERROR(VLOOKUP(E42,'BRI Insert'!A:C,3,FALSE),(VLOOKUP(E42,'Product Names BRI'!A:B,2,FALSE)))</f>
        <v>-</v>
      </c>
      <c r="G42" s="49">
        <f>IFERROR(VLOOKUP(E42,'BRI Insert'!A:D,4,FALSE),MISC!A35)</f>
        <v>0</v>
      </c>
    </row>
    <row r="43" spans="1:7" x14ac:dyDescent="0.25">
      <c r="A43" s="15">
        <v>1766</v>
      </c>
      <c r="B43" s="49" t="str">
        <f>IFERROR(VLOOKUP(A43,'BRI Insert'!A:C,3,FALSE),(VLOOKUP(A43,'Product Names BRI'!A:B,2,FALSE)))</f>
        <v>JUMBO CHOC CHIPS SEMI SWEET</v>
      </c>
      <c r="C43" s="50">
        <f>IFERROR(VLOOKUP(A43,'BRI Insert'!A:D,4,FALSE),MISC!A12)</f>
        <v>0.25</v>
      </c>
      <c r="E43" s="15" t="s">
        <v>1069</v>
      </c>
      <c r="F43" s="49" t="str">
        <f>IFERROR(VLOOKUP(E43,'BRI Insert'!A:C,3,FALSE),(VLOOKUP(E43,'Product Names BRI'!A:B,2,FALSE)))</f>
        <v>-</v>
      </c>
      <c r="G43" s="49">
        <f>IFERROR(VLOOKUP(E43,'BRI Insert'!A:D,4,FALSE),MISC!A36)</f>
        <v>0</v>
      </c>
    </row>
  </sheetData>
  <sortState ref="E5:E43">
    <sortCondition ref="E5"/>
  </sortState>
  <pageMargins left="0.4" right="0.25" top="0.75" bottom="0.75" header="0.3" footer="0.3"/>
  <pageSetup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3"/>
  <sheetViews>
    <sheetView topLeftCell="A13" workbookViewId="0">
      <selection activeCell="A5" sqref="A5:A43"/>
    </sheetView>
  </sheetViews>
  <sheetFormatPr defaultRowHeight="15" x14ac:dyDescent="0.25"/>
  <cols>
    <col min="1" max="1" width="7.5703125" customWidth="1"/>
    <col min="2" max="2" width="31.28515625" customWidth="1"/>
    <col min="3" max="3" width="7" customWidth="1"/>
    <col min="4" max="4" width="5.42578125" customWidth="1"/>
    <col min="6" max="6" width="31.42578125" customWidth="1"/>
    <col min="7" max="7" width="7.85546875" customWidth="1"/>
  </cols>
  <sheetData>
    <row r="1" spans="1:7" ht="44.25" x14ac:dyDescent="0.25">
      <c r="A1" s="30" t="s">
        <v>1093</v>
      </c>
      <c r="F1" s="3"/>
      <c r="G1" s="3"/>
    </row>
    <row r="2" spans="1:7" ht="24.75" x14ac:dyDescent="0.25">
      <c r="B2" s="2"/>
      <c r="C2" s="2"/>
      <c r="D2" s="2"/>
      <c r="E2" s="4"/>
      <c r="F2" s="3"/>
      <c r="G2" s="3"/>
    </row>
    <row r="3" spans="1:7" ht="20.25" thickBot="1" x14ac:dyDescent="0.3">
      <c r="A3" s="22" t="s">
        <v>861</v>
      </c>
      <c r="B3" s="23" t="s">
        <v>919</v>
      </c>
      <c r="C3" s="24" t="s">
        <v>0</v>
      </c>
      <c r="E3" s="22" t="s">
        <v>861</v>
      </c>
      <c r="F3" s="23" t="s">
        <v>919</v>
      </c>
      <c r="G3" s="24" t="s">
        <v>0</v>
      </c>
    </row>
    <row r="4" spans="1:7" x14ac:dyDescent="0.25">
      <c r="A4" s="3"/>
      <c r="B4" s="3"/>
      <c r="C4" s="3"/>
    </row>
    <row r="5" spans="1:7" x14ac:dyDescent="0.25">
      <c r="A5" s="15">
        <v>5</v>
      </c>
      <c r="B5" s="49" t="str">
        <f>IFERROR(VLOOKUP(A5,'BRI Insert'!A:C,3,FALSE),(VLOOKUP(A5,'Product Names BRI'!A:B,2,FALSE)))</f>
        <v>BA-ZING-A! SNACK MIX</v>
      </c>
      <c r="C5" s="50">
        <f>IFERROR(VLOOKUP(A5,'BRI Insert'!A:D,4,FALSE),MISC!A20)</f>
        <v>0.25</v>
      </c>
      <c r="E5" s="15">
        <v>1544</v>
      </c>
      <c r="F5" s="49" t="str">
        <f>IFERROR(VLOOKUP(E5,'BRI Insert'!A:C,3,FALSE),(VLOOKUP(E5,'Product Names BRI'!A:B,2,FALSE)))</f>
        <v>HARD WHEAT KERNELS(BERRIES)</v>
      </c>
      <c r="G5" s="49">
        <f>IFERROR(VLOOKUP(E5,'BRI Insert'!A:D,4,FALSE),MISC!A1)</f>
        <v>0.5</v>
      </c>
    </row>
    <row r="6" spans="1:7" x14ac:dyDescent="0.25">
      <c r="A6" s="15">
        <v>6</v>
      </c>
      <c r="B6" s="49" t="str">
        <f>IFERROR(VLOOKUP(A6,'BRI Insert'!A:C,3,FALSE),(VLOOKUP(A6,'Product Names BRI'!A:B,2,FALSE)))</f>
        <v>NUTS OVER SESAME SNACK MIX</v>
      </c>
      <c r="C6" s="50">
        <f>IFERROR(VLOOKUP(A6,'BRI Insert'!A:D,4,FALSE),MISC!A25)</f>
        <v>0.25</v>
      </c>
      <c r="E6" s="15">
        <v>1548</v>
      </c>
      <c r="F6" s="49" t="str">
        <f>IFERROR(VLOOKUP(E6,'BRI Insert'!A:C,3,FALSE),(VLOOKUP(E6,'Product Names BRI'!A:B,2,FALSE)))</f>
        <v>OAT BRAN CEREAL</v>
      </c>
      <c r="G6" s="49">
        <f>IFERROR(VLOOKUP(E6,'BRI Insert'!A:D,4,FALSE),MISC!A13)</f>
        <v>0</v>
      </c>
    </row>
    <row r="7" spans="1:7" x14ac:dyDescent="0.25">
      <c r="A7" s="15">
        <v>9</v>
      </c>
      <c r="B7" s="49" t="str">
        <f>IFERROR(VLOOKUP(A7,'BRI Insert'!A:C,3,FALSE),(VLOOKUP(A7,'Product Names BRI'!A:B,2,FALSE)))</f>
        <v>GARDEN OF EATIN TRAIL MIX</v>
      </c>
      <c r="C7" s="50">
        <f>IFERROR(VLOOKUP(A7,'BRI Insert'!A:D,4,FALSE),MISC!A21)</f>
        <v>0.5</v>
      </c>
      <c r="E7" s="15">
        <v>1550</v>
      </c>
      <c r="F7" s="49" t="str">
        <f>IFERROR(VLOOKUP(E7,'BRI Insert'!A:C,3,FALSE),(VLOOKUP(E7,'Product Names BRI'!A:B,2,FALSE)))</f>
        <v>CRANBERRY DELIGHT GRANOLA</v>
      </c>
      <c r="G7" s="49">
        <f>IFERROR(VLOOKUP(E7,'BRI Insert'!A:D,4,FALSE),MISC!A14)</f>
        <v>0</v>
      </c>
    </row>
    <row r="8" spans="1:7" x14ac:dyDescent="0.25">
      <c r="A8" s="15">
        <v>47</v>
      </c>
      <c r="B8" s="49" t="str">
        <f>IFERROR(VLOOKUP(A8,'BRI Insert'!A:C,3,FALSE),(VLOOKUP(A8,'Product Names BRI'!A:B,2,FALSE)))</f>
        <v>ORIENTAL RICE CRACKERS</v>
      </c>
      <c r="C8" s="50">
        <f>IFERROR(VLOOKUP(A8,'BRI Insert'!A:D,4,FALSE),MISC!A13)</f>
        <v>0</v>
      </c>
      <c r="E8" s="15">
        <v>1551</v>
      </c>
      <c r="F8" s="49" t="str">
        <f>IFERROR(VLOOKUP(E8,'BRI Insert'!A:C,3,FALSE),(VLOOKUP(E8,'Product Names BRI'!A:B,2,FALSE)))</f>
        <v>QUEST CRUNCH GRANOLA</v>
      </c>
      <c r="G8" s="49">
        <f>IFERROR(VLOOKUP(E8,'BRI Insert'!A:D,4,FALSE),MISC!A12)</f>
        <v>0.5</v>
      </c>
    </row>
    <row r="9" spans="1:7" x14ac:dyDescent="0.25">
      <c r="A9" s="15">
        <v>67</v>
      </c>
      <c r="B9" s="49" t="str">
        <f>IFERROR(VLOOKUP(A9,'BRI Insert'!A:C,3,FALSE),(VLOOKUP(A9,'Product Names BRI'!A:B,2,FALSE)))</f>
        <v>CRANBERRY CLASSIC TRAILMIX</v>
      </c>
      <c r="C9" s="50">
        <f>IFERROR(VLOOKUP(A9,'BRI Insert'!A:D,4,FALSE),MISC!A27)</f>
        <v>0.25</v>
      </c>
      <c r="E9" s="15">
        <v>1553</v>
      </c>
      <c r="F9" s="49" t="str">
        <f>IFERROR(VLOOKUP(E9,'BRI Insert'!A:C,3,FALSE),(VLOOKUP(E9,'Product Names BRI'!A:B,2,FALSE)))</f>
        <v>REGULAR GRANOLA CEREAL</v>
      </c>
      <c r="G9" s="49">
        <f>IFERROR(VLOOKUP(E9,'BRI Insert'!A:D,4,FALSE),MISC!A8)</f>
        <v>0.5</v>
      </c>
    </row>
    <row r="10" spans="1:7" x14ac:dyDescent="0.25">
      <c r="A10" s="15">
        <v>227</v>
      </c>
      <c r="B10" s="49" t="str">
        <f>IFERROR(VLOOKUP(A10,'BRI Insert'!A:C,3,FALSE),(VLOOKUP(A10,'Product Names BRI'!A:B,2,FALSE)))</f>
        <v>LEM.POPPY SD CREAM CAKE/MUF MX</v>
      </c>
      <c r="C10" s="50">
        <f>IFERROR(VLOOKUP(A10,'BRI Insert'!A:D,4,FALSE),MISC!A4)</f>
        <v>0.5</v>
      </c>
      <c r="E10" s="15">
        <v>1554</v>
      </c>
      <c r="F10" s="49" t="str">
        <f>IFERROR(VLOOKUP(E10,'BRI Insert'!A:C,3,FALSE),(VLOOKUP(E10,'Product Names BRI'!A:B,2,FALSE)))</f>
        <v>HONEY&amp; ALMOND GRANOLA</v>
      </c>
      <c r="G10" s="49">
        <f>IFERROR(VLOOKUP(E10,'BRI Insert'!A:D,4,FALSE),MISC!A10)</f>
        <v>0</v>
      </c>
    </row>
    <row r="11" spans="1:7" x14ac:dyDescent="0.25">
      <c r="A11" s="15">
        <v>247</v>
      </c>
      <c r="B11" s="49" t="str">
        <f>IFERROR(VLOOKUP(A11,'BRI Insert'!A:C,3,FALSE),(VLOOKUP(A11,'Product Names BRI'!A:B,2,FALSE)))</f>
        <v>BRAN MUFFIN MIX</v>
      </c>
      <c r="C11" s="50">
        <f>IFERROR(VLOOKUP(A11,'BRI Insert'!A:D,4,FALSE),MISC!A8)</f>
        <v>0.5</v>
      </c>
      <c r="E11" s="15">
        <v>1557</v>
      </c>
      <c r="F11" s="49" t="str">
        <f>IFERROR(VLOOKUP(E11,'BRI Insert'!A:C,3,FALSE),(VLOOKUP(E11,'Product Names BRI'!A:B,2,FALSE)))</f>
        <v>COCONUT MANGO GRANOLA</v>
      </c>
      <c r="G11" s="49">
        <f>IFERROR(VLOOKUP(E11,'BRI Insert'!A:D,4,FALSE),MISC!A4)</f>
        <v>0</v>
      </c>
    </row>
    <row r="12" spans="1:7" x14ac:dyDescent="0.25">
      <c r="A12" s="15">
        <v>253</v>
      </c>
      <c r="B12" s="49" t="str">
        <f>IFERROR(VLOOKUP(A12,'BRI Insert'!A:C,3,FALSE),(VLOOKUP(A12,'Product Names BRI'!A:B,2,FALSE)))</f>
        <v>PIE CRUST MIX</v>
      </c>
      <c r="C12" s="50">
        <f>IFERROR(VLOOKUP(A12,'BRI Insert'!A:D,4,FALSE),MISC!A19)</f>
        <v>0.5</v>
      </c>
      <c r="E12" s="15">
        <v>1560</v>
      </c>
      <c r="F12" s="49" t="str">
        <f>IFERROR(VLOOKUP(E12,'BRI Insert'!A:C,3,FALSE),(VLOOKUP(E12,'Product Names BRI'!A:B,2,FALSE)))</f>
        <v>HONEY NUT CHEERIOS</v>
      </c>
      <c r="G12" s="49">
        <f>IFERROR(VLOOKUP(E12,'BRI Insert'!A:D,4,FALSE),MISC!A7)</f>
        <v>0.25</v>
      </c>
    </row>
    <row r="13" spans="1:7" x14ac:dyDescent="0.25">
      <c r="A13" s="15">
        <v>312</v>
      </c>
      <c r="B13" s="49" t="str">
        <f>IFERROR(VLOOKUP(A13,'BRI Insert'!A:C,3,FALSE),(VLOOKUP(A13,'Product Names BRI'!A:B,2,FALSE)))</f>
        <v>COOKIE DOUGH MIX</v>
      </c>
      <c r="C13" s="50">
        <f>IFERROR(VLOOKUP(A13,'BRI Insert'!A:D,4,FALSE),MISC!A31)</f>
        <v>0.75</v>
      </c>
      <c r="E13" s="15">
        <v>1563</v>
      </c>
      <c r="F13" s="49" t="str">
        <f>IFERROR(VLOOKUP(E13,'BRI Insert'!A:C,3,FALSE),(VLOOKUP(E13,'Product Names BRI'!A:B,2,FALSE)))</f>
        <v>GREAT GRAN.BREAKFAST CER.LOWFT</v>
      </c>
      <c r="G13" s="49">
        <f>IFERROR(VLOOKUP(E13,'BRI Insert'!A:D,4,FALSE),MISC!A20)</f>
        <v>0.25</v>
      </c>
    </row>
    <row r="14" spans="1:7" x14ac:dyDescent="0.25">
      <c r="A14" s="34">
        <v>313</v>
      </c>
      <c r="B14" s="49" t="str">
        <f>IFERROR(VLOOKUP(A14,'BRI Insert'!A:C,3,FALSE),(VLOOKUP(A14,'Product Names BRI'!A:B,2,FALSE)))</f>
        <v>INSTANT PANCAKE MIX</v>
      </c>
      <c r="C14" s="50">
        <f>IFERROR(VLOOKUP(A14,'BRI Insert'!A:D,4,FALSE),MISC!A15)</f>
        <v>0.25</v>
      </c>
      <c r="E14" s="15">
        <v>1567</v>
      </c>
      <c r="F14" s="49" t="str">
        <f>IFERROR(VLOOKUP(E14,'BRI Insert'!A:C,3,FALSE),(VLOOKUP(E14,'Product Names BRI'!A:B,2,FALSE)))</f>
        <v>BRAN FLAKES</v>
      </c>
      <c r="G14" s="49">
        <f>IFERROR(VLOOKUP(E14,'BRI Insert'!A:D,4,FALSE),MISC!A21)</f>
        <v>0.5</v>
      </c>
    </row>
    <row r="15" spans="1:7" x14ac:dyDescent="0.25">
      <c r="A15" s="15">
        <v>318</v>
      </c>
      <c r="B15" s="49" t="str">
        <f>IFERROR(VLOOKUP(A15,'BRI Insert'!A:C,3,FALSE),(VLOOKUP(A15,'Product Names BRI'!A:B,2,FALSE)))</f>
        <v>OATMEAL MUFFIN MIX</v>
      </c>
      <c r="C15" s="50">
        <f>IFERROR(VLOOKUP(A15,'BRI Insert'!A:D,4,FALSE),MISC!A18)</f>
        <v>0</v>
      </c>
      <c r="E15" s="15">
        <v>1568</v>
      </c>
      <c r="F15" s="49" t="str">
        <f>IFERROR(VLOOKUP(E15,'BRI Insert'!A:C,3,FALSE),(VLOOKUP(E15,'Product Names BRI'!A:B,2,FALSE)))</f>
        <v>100% BRAN CEREAL</v>
      </c>
      <c r="G15" s="49">
        <f>IFERROR(VLOOKUP(E15,'BRI Insert'!A:D,4,FALSE),MISC!A9)</f>
        <v>0.25</v>
      </c>
    </row>
    <row r="16" spans="1:7" x14ac:dyDescent="0.25">
      <c r="A16" s="15">
        <v>319</v>
      </c>
      <c r="B16" s="49" t="str">
        <f>IFERROR(VLOOKUP(A16,'BRI Insert'!A:C,3,FALSE),(VLOOKUP(A16,'Product Names BRI'!A:B,2,FALSE)))</f>
        <v>TEA BISCUIT MIX</v>
      </c>
      <c r="C16" s="50">
        <f>IFERROR(VLOOKUP(A16,'BRI Insert'!A:D,4,FALSE),MISC!A6)</f>
        <v>0.75</v>
      </c>
      <c r="E16" s="15">
        <v>1569</v>
      </c>
      <c r="F16" s="49" t="str">
        <f>IFERROR(VLOOKUP(E16,'BRI Insert'!A:C,3,FALSE),(VLOOKUP(E16,'Product Names BRI'!A:B,2,FALSE)))</f>
        <v>HEMP GRANOLA</v>
      </c>
      <c r="G16" s="49">
        <f>IFERROR(VLOOKUP(E16,'BRI Insert'!A:D,4,FALSE),MISC!A17)</f>
        <v>0.5</v>
      </c>
    </row>
    <row r="17" spans="1:7" x14ac:dyDescent="0.25">
      <c r="A17" s="15">
        <v>322</v>
      </c>
      <c r="B17" s="49" t="str">
        <f>IFERROR(VLOOKUP(A17,'BRI Insert'!A:C,3,FALSE),(VLOOKUP(A17,'Product Names BRI'!A:B,2,FALSE)))</f>
        <v>CHOCOLATE CAKE &amp; MUFFIN MIX</v>
      </c>
      <c r="C17" s="50">
        <f>IFERROR(VLOOKUP(A17,'BRI Insert'!A:D,4,FALSE),MISC!A33)</f>
        <v>0</v>
      </c>
      <c r="E17" s="15">
        <v>1571</v>
      </c>
      <c r="F17" s="49" t="str">
        <f>IFERROR(VLOOKUP(E17,'BRI Insert'!A:C,3,FALSE),(VLOOKUP(E17,'Product Names BRI'!A:B,2,FALSE)))</f>
        <v>CHUNKY SUPREME GRANOLA</v>
      </c>
      <c r="G17" s="49">
        <f>IFERROR(VLOOKUP(E17,'BRI Insert'!A:D,4,FALSE),MISC!A18)</f>
        <v>0</v>
      </c>
    </row>
    <row r="18" spans="1:7" x14ac:dyDescent="0.25">
      <c r="A18" s="15">
        <v>323</v>
      </c>
      <c r="B18" s="49" t="str">
        <f>IFERROR(VLOOKUP(A18,'BRI Insert'!A:C,3,FALSE),(VLOOKUP(A18,'Product Names BRI'!A:B,2,FALSE)))</f>
        <v>WHITE CAKE MIX</v>
      </c>
      <c r="C18" s="50">
        <f>IFERROR(VLOOKUP(A18,'BRI Insert'!A:D,4,FALSE),MISC!A2)</f>
        <v>0.75</v>
      </c>
      <c r="E18" s="15">
        <v>1576</v>
      </c>
      <c r="F18" s="49" t="str">
        <f>IFERROR(VLOOKUP(E18,'BRI Insert'!A:C,3,FALSE),(VLOOKUP(E18,'Product Names BRI'!A:B,2,FALSE)))</f>
        <v>BAKERS BRAN/ RED(HARD)</v>
      </c>
      <c r="G18" s="49">
        <f>IFERROR(VLOOKUP(E18,'BRI Insert'!A:D,4,FALSE),MISC!A19)</f>
        <v>0.5</v>
      </c>
    </row>
    <row r="19" spans="1:7" x14ac:dyDescent="0.25">
      <c r="A19" s="15">
        <v>325</v>
      </c>
      <c r="B19" s="49" t="str">
        <f>IFERROR(VLOOKUP(A19,'BRI Insert'!A:C,3,FALSE),(VLOOKUP(A19,'Product Names BRI'!A:B,2,FALSE)))</f>
        <v>OATMEAL COOKIE MIX</v>
      </c>
      <c r="C19" s="50">
        <f>IFERROR(VLOOKUP(A19,'BRI Insert'!A:D,4,FALSE),MISC!A5)</f>
        <v>0.5</v>
      </c>
      <c r="E19" s="15">
        <v>1577</v>
      </c>
      <c r="F19" s="49" t="str">
        <f>IFERROR(VLOOKUP(E19,'BRI Insert'!A:C,3,FALSE),(VLOOKUP(E19,'Product Names BRI'!A:B,2,FALSE)))</f>
        <v>ORGANIC KAMUT FLAKES</v>
      </c>
      <c r="G19" s="49">
        <f>IFERROR(VLOOKUP(E19,'BRI Insert'!A:D,4,FALSE),MISC!A26)</f>
        <v>0</v>
      </c>
    </row>
    <row r="20" spans="1:7" x14ac:dyDescent="0.25">
      <c r="A20" s="15">
        <v>326</v>
      </c>
      <c r="B20" s="49" t="str">
        <f>IFERROR(VLOOKUP(A20,'BRI Insert'!A:C,3,FALSE),(VLOOKUP(A20,'Product Names BRI'!A:B,2,FALSE)))</f>
        <v>FISH &amp; CHIP BATTER</v>
      </c>
      <c r="C20" s="50">
        <f>IFERROR(VLOOKUP(A20,'BRI Insert'!A:D,4,FALSE),MISC!A22)</f>
        <v>0</v>
      </c>
      <c r="E20" s="15">
        <v>1582</v>
      </c>
      <c r="F20" s="49" t="str">
        <f>IFERROR(VLOOKUP(E20,'BRI Insert'!A:C,3,FALSE),(VLOOKUP(E20,'Product Names BRI'!A:B,2,FALSE)))</f>
        <v>WHEAT GERM DARK TOASTED</v>
      </c>
      <c r="G20" s="49">
        <f>IFERROR(VLOOKUP(E20,'BRI Insert'!A:D,4,FALSE),MISC!A16)</f>
        <v>0</v>
      </c>
    </row>
    <row r="21" spans="1:7" x14ac:dyDescent="0.25">
      <c r="A21" s="15">
        <v>328</v>
      </c>
      <c r="B21" s="49" t="str">
        <f>IFERROR(VLOOKUP(A21,'BRI Insert'!A:C,3,FALSE),(VLOOKUP(A21,'Product Names BRI'!A:B,2,FALSE)))</f>
        <v>GRAHAM CRACK CRUMBS</v>
      </c>
      <c r="C21" s="50">
        <f>IFERROR(VLOOKUP(A21,'BRI Insert'!A:D,4,FALSE),MISC!A1)</f>
        <v>0</v>
      </c>
      <c r="E21" s="15">
        <v>1587</v>
      </c>
      <c r="F21" s="49" t="str">
        <f>IFERROR(VLOOKUP(E21,'BRI Insert'!A:C,3,FALSE),(VLOOKUP(E21,'Product Names BRI'!A:B,2,FALSE)))</f>
        <v>TRI COLOURED COUSCOUS</v>
      </c>
      <c r="G21" s="49">
        <f>IFERROR(VLOOKUP(E21,'BRI Insert'!A:D,4,FALSE),MISC!A22)</f>
        <v>0</v>
      </c>
    </row>
    <row r="22" spans="1:7" x14ac:dyDescent="0.25">
      <c r="A22" s="15">
        <v>329</v>
      </c>
      <c r="B22" s="49" t="str">
        <f>IFERROR(VLOOKUP(A22,'BRI Insert'!A:C,3,FALSE),(VLOOKUP(A22,'Product Names BRI'!A:B,2,FALSE)))</f>
        <v>CHOCOLATE COOKIE CRUMBS</v>
      </c>
      <c r="C22" s="50">
        <f>IFERROR(VLOOKUP(A22,'BRI Insert'!A:D,4,FALSE),MISC!A7)</f>
        <v>0</v>
      </c>
      <c r="E22" s="15">
        <v>2202</v>
      </c>
      <c r="F22" s="49" t="str">
        <f>IFERROR(VLOOKUP(E22,'BRI Insert'!A:C,3,FALSE),(VLOOKUP(E22,'Product Names BRI'!A:B,2,FALSE)))</f>
        <v>NUTZ N' BOLTZ SNACK MIX</v>
      </c>
      <c r="G22" s="49">
        <f>IFERROR(VLOOKUP(E22,'BRI Insert'!A:D,4,FALSE),MISC!A23)</f>
        <v>0</v>
      </c>
    </row>
    <row r="23" spans="1:7" x14ac:dyDescent="0.25">
      <c r="A23" s="15">
        <v>348</v>
      </c>
      <c r="B23" s="49" t="str">
        <f>IFERROR(VLOOKUP(A23,'BRI Insert'!A:C,3,FALSE),(VLOOKUP(A23,'Product Names BRI'!A:B,2,FALSE)))</f>
        <v>INSTANT MASHED POTATO FLAKES</v>
      </c>
      <c r="C23" s="50">
        <f>IFERROR(VLOOKUP(A23,'BRI Insert'!A:D,4,FALSE),MISC!A37)</f>
        <v>0</v>
      </c>
      <c r="E23" s="15">
        <v>2287</v>
      </c>
      <c r="F23" s="49" t="str">
        <f>IFERROR(VLOOKUP(E23,'BRI Insert'!A:C,3,FALSE),(VLOOKUP(E23,'Product Names BRI'!A:B,2,FALSE)))</f>
        <v>SHOULD BE A FOOD GROUP SNK MIX</v>
      </c>
      <c r="G23" s="49">
        <f>IFERROR(VLOOKUP(E23,'BRI Insert'!A:D,4,FALSE),MISC!A24)</f>
        <v>0.25</v>
      </c>
    </row>
    <row r="24" spans="1:7" x14ac:dyDescent="0.25">
      <c r="A24" s="15">
        <v>358</v>
      </c>
      <c r="B24" s="49" t="str">
        <f>IFERROR(VLOOKUP(A24,'BRI Insert'!A:C,3,FALSE),(VLOOKUP(A24,'Product Names BRI'!A:B,2,FALSE)))</f>
        <v>SEASONED CROUTONS</v>
      </c>
      <c r="C24" s="50">
        <f>IFERROR(VLOOKUP(A24,'BRI Insert'!A:D,4,FALSE),MISC!A38)</f>
        <v>0</v>
      </c>
      <c r="E24" s="15">
        <v>2308</v>
      </c>
      <c r="F24" s="49" t="str">
        <f>IFERROR(VLOOKUP(E24,'BRI Insert'!A:C,3,FALSE),(VLOOKUP(E24,'Product Names BRI'!A:B,2,FALSE)))</f>
        <v>SCOTCH OATS</v>
      </c>
      <c r="G24" s="49">
        <f>IFERROR(VLOOKUP(E24,'BRI Insert'!A:D,4,FALSE),MISC!A25)</f>
        <v>0.5</v>
      </c>
    </row>
    <row r="25" spans="1:7" x14ac:dyDescent="0.25">
      <c r="A25" s="15">
        <v>366</v>
      </c>
      <c r="B25" s="49" t="str">
        <f>IFERROR(VLOOKUP(A25,'BRI Insert'!A:C,3,FALSE),(VLOOKUP(A25,'Product Names BRI'!A:B,2,FALSE)))</f>
        <v>SMOKEY BACON BITS</v>
      </c>
      <c r="C25" s="50">
        <f>IFERROR(VLOOKUP(A25,'BRI Insert'!A:D,4,FALSE),MISC!A29)</f>
        <v>0.5</v>
      </c>
      <c r="E25" s="15">
        <v>2354</v>
      </c>
      <c r="F25" s="49" t="str">
        <f>IFERROR(VLOOKUP(E25,'BRI Insert'!A:C,3,FALSE),(VLOOKUP(E25,'Product Names BRI'!A:B,2,FALSE)))</f>
        <v>RED VELVET CAKE &amp; MUFFIN MIX</v>
      </c>
      <c r="G25" s="49">
        <f>IFERROR(VLOOKUP(E25,'BRI Insert'!A:D,4,FALSE),MISC!A5)</f>
        <v>0</v>
      </c>
    </row>
    <row r="26" spans="1:7" x14ac:dyDescent="0.25">
      <c r="A26" s="15">
        <v>370</v>
      </c>
      <c r="B26" s="49" t="str">
        <f>IFERROR(VLOOKUP(A26,'BRI Insert'!A:C,3,FALSE),(VLOOKUP(A26,'Product Names BRI'!A:B,2,FALSE)))</f>
        <v>PLAIN BREAD CRUMBS</v>
      </c>
      <c r="C26" s="50">
        <f>IFERROR(VLOOKUP(A26,'BRI Insert'!A:D,4,FALSE),MISC!A3)</f>
        <v>0</v>
      </c>
      <c r="E26" s="15">
        <v>2446</v>
      </c>
      <c r="F26" s="49" t="str">
        <f>IFERROR(VLOOKUP(E26,'BRI Insert'!A:C,3,FALSE),(VLOOKUP(E26,'Product Names BRI'!A:B,2,FALSE)))</f>
        <v>POST SHREDDIES</v>
      </c>
      <c r="G26" s="49">
        <f>IFERROR(VLOOKUP(E26,'BRI Insert'!A:D,4,FALSE),MISC!A6)</f>
        <v>0.5</v>
      </c>
    </row>
    <row r="27" spans="1:7" x14ac:dyDescent="0.25">
      <c r="A27" s="15">
        <v>371</v>
      </c>
      <c r="B27" s="49" t="str">
        <f>IFERROR(VLOOKUP(A27,'BRI Insert'!A:C,3,FALSE),(VLOOKUP(A27,'Product Names BRI'!A:B,2,FALSE)))</f>
        <v>SEASONED BREAD CRUMBS</v>
      </c>
      <c r="C27" s="50">
        <f>IFERROR(VLOOKUP(A27,'BRI Insert'!A:D,4,FALSE),MISC!A16)</f>
        <v>0</v>
      </c>
      <c r="E27" s="15">
        <v>2547</v>
      </c>
      <c r="F27" s="49" t="str">
        <f>IFERROR(VLOOKUP(E27,'BRI Insert'!A:C,3,FALSE),(VLOOKUP(E27,'Product Names BRI'!A:B,2,FALSE)))</f>
        <v>ORGANIC BUCKWHEAT GROATS</v>
      </c>
      <c r="G27" s="49">
        <f>IFERROR(VLOOKUP(E27,'BRI Insert'!A:D,4,FALSE),MISC!A3)</f>
        <v>0</v>
      </c>
    </row>
    <row r="28" spans="1:7" x14ac:dyDescent="0.25">
      <c r="A28" s="15">
        <v>373</v>
      </c>
      <c r="B28" s="49" t="str">
        <f>IFERROR(VLOOKUP(A28,'BRI Insert'!A:C,3,FALSE),(VLOOKUP(A28,'Product Names BRI'!A:B,2,FALSE)))</f>
        <v>PANKO BREAD CRUMBS</v>
      </c>
      <c r="C28" s="50">
        <f>IFERROR(VLOOKUP(A28,'BRI Insert'!A:D,4,FALSE),MISC!A30)</f>
        <v>0</v>
      </c>
      <c r="E28" s="15">
        <v>2553</v>
      </c>
      <c r="F28" s="49" t="str">
        <f>IFERROR(VLOOKUP(E28,'BRI Insert'!A:C,3,FALSE),(VLOOKUP(E28,'Product Names BRI'!A:B,2,FALSE)))</f>
        <v>ORGANIC FARRO</v>
      </c>
      <c r="G28" s="49">
        <f>IFERROR(VLOOKUP(E28,'BRI Insert'!A:D,4,FALSE),MISC!A15)</f>
        <v>0</v>
      </c>
    </row>
    <row r="29" spans="1:7" x14ac:dyDescent="0.25">
      <c r="A29" s="15">
        <v>1517</v>
      </c>
      <c r="B29" s="49" t="str">
        <f>IFERROR(VLOOKUP(A29,'BRI Insert'!A:C,3,FALSE),(VLOOKUP(A29,'Product Names BRI'!A:B,2,FALSE)))</f>
        <v>ISRAELI COUSCOUS</v>
      </c>
      <c r="C29" s="50">
        <f>IFERROR(VLOOKUP(A29,'BRI Insert'!A:D,4,FALSE),MISC!A10)</f>
        <v>1.25</v>
      </c>
      <c r="E29" s="15">
        <v>2695</v>
      </c>
      <c r="F29" s="49" t="str">
        <f>IFERROR(VLOOKUP(E29,'BRI Insert'!A:C,3,FALSE),(VLOOKUP(E29,'Product Names BRI'!A:B,2,FALSE)))</f>
        <v>ORGANIC PUMPKIN FLAX GRANOLA</v>
      </c>
      <c r="G29" s="49">
        <f>IFERROR(VLOOKUP(E29,'BRI Insert'!A:D,4,FALSE),MISC!A2)</f>
        <v>0</v>
      </c>
    </row>
    <row r="30" spans="1:7" x14ac:dyDescent="0.25">
      <c r="A30" s="15">
        <v>1518</v>
      </c>
      <c r="B30" s="49" t="str">
        <f>IFERROR(VLOOKUP(A30,'BRI Insert'!A:C,3,FALSE),(VLOOKUP(A30,'Product Names BRI'!A:B,2,FALSE)))</f>
        <v>WHOLE WHEAT COUSCOUS</v>
      </c>
      <c r="C30" s="50">
        <f>IFERROR(VLOOKUP(A30,'BRI Insert'!A:D,4,FALSE),MISC!A34)</f>
        <v>0.25</v>
      </c>
      <c r="E30" s="15">
        <v>2747</v>
      </c>
      <c r="F30" s="49" t="str">
        <f>IFERROR(VLOOKUP(E30,'BRI Insert'!A:C,3,FALSE),(VLOOKUP(E30,'Product Names BRI'!A:B,2,FALSE)))</f>
        <v>#NOMNOMNOM</v>
      </c>
      <c r="G30" s="49">
        <f>IFERROR(VLOOKUP(E30,'BRI Insert'!A:D,4,FALSE),MISC!A11)</f>
        <v>1</v>
      </c>
    </row>
    <row r="31" spans="1:7" x14ac:dyDescent="0.25">
      <c r="A31" s="15">
        <v>1525</v>
      </c>
      <c r="B31" s="49" t="str">
        <f>IFERROR(VLOOKUP(A31,'BRI Insert'!A:C,3,FALSE),(VLOOKUP(A31,'Product Names BRI'!A:B,2,FALSE)))</f>
        <v>SPELT FLAKES</v>
      </c>
      <c r="C31" s="50">
        <f>IFERROR(VLOOKUP(A31,'BRI Insert'!A:D,4,FALSE),MISC!A9)</f>
        <v>0</v>
      </c>
      <c r="E31" s="15">
        <v>2785</v>
      </c>
      <c r="F31" s="49" t="str">
        <f>IFERROR(VLOOKUP(E31,'BRI Insert'!A:C,3,FALSE),(VLOOKUP(E31,'Product Names BRI'!A:B,2,FALSE)))</f>
        <v>CRACKED GREENWHEAT FREEKEH</v>
      </c>
      <c r="G31" s="49">
        <f>IFERROR(VLOOKUP(E31,'BRI Insert'!A:D,4,FALSE),MISC!A37)</f>
        <v>0</v>
      </c>
    </row>
    <row r="32" spans="1:7" x14ac:dyDescent="0.25">
      <c r="A32" s="15">
        <v>1526</v>
      </c>
      <c r="B32" s="49" t="str">
        <f>IFERROR(VLOOKUP(A32,'BRI Insert'!A:C,3,FALSE),(VLOOKUP(A32,'Product Names BRI'!A:B,2,FALSE)))</f>
        <v>STEEL CUT OATS GROATS</v>
      </c>
      <c r="C32" s="50">
        <f>IFERROR(VLOOKUP(A32,'BRI Insert'!A:D,4,FALSE),MISC!A28)</f>
        <v>1.25</v>
      </c>
      <c r="E32" s="15">
        <v>2796</v>
      </c>
      <c r="F32" s="49" t="str">
        <f>IFERROR(VLOOKUP(E32,'BRI Insert'!A:C,3,FALSE),(VLOOKUP(E32,'Product Names BRI'!A:B,2,FALSE)))</f>
        <v>CRANBERRY VAN MACAROON GRANOLA</v>
      </c>
      <c r="G32" s="49">
        <f>IFERROR(VLOOKUP(E32,'BRI Insert'!A:D,4,FALSE),MISC!A38)</f>
        <v>0</v>
      </c>
    </row>
    <row r="33" spans="1:7" x14ac:dyDescent="0.25">
      <c r="A33" s="15">
        <v>1527</v>
      </c>
      <c r="B33" s="49" t="str">
        <f>IFERROR(VLOOKUP(A33,'BRI Insert'!A:C,3,FALSE),(VLOOKUP(A33,'Product Names BRI'!A:B,2,FALSE)))</f>
        <v>KASHA BUCKWHEAT TOASTED</v>
      </c>
      <c r="C33" s="50">
        <f>IFERROR(VLOOKUP(A33,'BRI Insert'!A:D,4,FALSE),MISC!A14)</f>
        <v>1</v>
      </c>
      <c r="E33" s="15">
        <v>2843</v>
      </c>
      <c r="F33" s="49" t="str">
        <f>IFERROR(VLOOKUP(E33,'BRI Insert'!A:C,3,FALSE),(VLOOKUP(E33,'Product Names BRI'!A:B,2,FALSE)))</f>
        <v>MY TEM SW &amp; TRT W/PNCH OF SVRY</v>
      </c>
      <c r="G33" s="49">
        <f>IFERROR(VLOOKUP(E33,'BRI Insert'!A:D,4,FALSE),MISC!A39)</f>
        <v>0</v>
      </c>
    </row>
    <row r="34" spans="1:7" x14ac:dyDescent="0.25">
      <c r="A34" s="15">
        <v>1530</v>
      </c>
      <c r="B34" s="49" t="str">
        <f>IFERROR(VLOOKUP(A34,'BRI Insert'!A:C,3,FALSE),(VLOOKUP(A34,'Product Names BRI'!A:B,2,FALSE)))</f>
        <v>12 GRAIN CEREAL</v>
      </c>
      <c r="C34" s="50">
        <f>IFERROR(VLOOKUP(A34,'BRI Insert'!A:D,4,FALSE),MISC!A39)</f>
        <v>0.25</v>
      </c>
      <c r="E34" s="15">
        <v>2888</v>
      </c>
      <c r="F34" s="49" t="str">
        <f>IFERROR(VLOOKUP(E34,'BRI Insert'!A:C,3,FALSE),(VLOOKUP(E34,'Product Names BRI'!A:B,2,FALSE)))</f>
        <v>MULTI GRAIN CHEERIOS</v>
      </c>
      <c r="G34" s="49">
        <f>IFERROR(VLOOKUP(E34,'BRI Insert'!A:D,4,FALSE),MISC!A27)</f>
        <v>0.25</v>
      </c>
    </row>
    <row r="35" spans="1:7" x14ac:dyDescent="0.25">
      <c r="A35" s="15">
        <v>1532</v>
      </c>
      <c r="B35" s="49" t="str">
        <f>IFERROR(VLOOKUP(A35,'BRI Insert'!A:C,3,FALSE),(VLOOKUP(A35,'Product Names BRI'!A:B,2,FALSE)))</f>
        <v>RYE FLAKES</v>
      </c>
      <c r="C35" s="50">
        <f>IFERROR(VLOOKUP(A35,'BRI Insert'!A:D,4,FALSE),MISC!A32)</f>
        <v>0</v>
      </c>
      <c r="E35" s="15">
        <v>2903</v>
      </c>
      <c r="F35" s="49" t="str">
        <f>IFERROR(VLOOKUP(E35,'BRI Insert'!A:C,3,FALSE),(VLOOKUP(E35,'Product Names BRI'!A:B,2,FALSE)))</f>
        <v>CHEWY ORGANIC BANANA BITES</v>
      </c>
      <c r="G35" s="49">
        <f>IFERROR(VLOOKUP(E35,'BRI Insert'!A:D,4,FALSE),MISC!A28)</f>
        <v>0</v>
      </c>
    </row>
    <row r="36" spans="1:7" x14ac:dyDescent="0.25">
      <c r="A36" s="15">
        <v>1533</v>
      </c>
      <c r="B36" s="49" t="str">
        <f>IFERROR(VLOOKUP(A36,'BRI Insert'!A:C,3,FALSE),(VLOOKUP(A36,'Product Names BRI'!A:B,2,FALSE)))</f>
        <v>CREAMY WHEATLETS</v>
      </c>
      <c r="C36" s="50">
        <f>IFERROR(VLOOKUP(A36,'BRI Insert'!A:D,4,FALSE),MISC!A36)</f>
        <v>0.25</v>
      </c>
      <c r="E36" s="15">
        <v>2904</v>
      </c>
      <c r="F36" s="49" t="str">
        <f>IFERROR(VLOOKUP(E36,'BRI Insert'!A:C,3,FALSE),(VLOOKUP(E36,'Product Names BRI'!A:B,2,FALSE)))</f>
        <v>CHEWY ORG COCONUT BANANA BITES</v>
      </c>
      <c r="G36" s="49">
        <f>IFERROR(VLOOKUP(E36,'BRI Insert'!A:D,4,FALSE),MISC!A29)</f>
        <v>0</v>
      </c>
    </row>
    <row r="37" spans="1:7" x14ac:dyDescent="0.25">
      <c r="A37" s="15">
        <v>1535</v>
      </c>
      <c r="B37" s="49" t="str">
        <f>IFERROR(VLOOKUP(A37,'BRI Insert'!A:C,3,FALSE),(VLOOKUP(A37,'Product Names BRI'!A:B,2,FALSE)))</f>
        <v>ROLLED OATS LRG FLAKES</v>
      </c>
      <c r="C37" s="50">
        <f>IFERROR(VLOOKUP(A37,'BRI Insert'!A:D,4,FALSE),MISC!A35)</f>
        <v>1</v>
      </c>
      <c r="E37" s="15">
        <v>2941</v>
      </c>
      <c r="F37" s="49" t="str">
        <f>IFERROR(VLOOKUP(E37,'BRI Insert'!A:C,3,FALSE),(VLOOKUP(E37,'Product Names BRI'!A:B,2,FALSE)))</f>
        <v>ORG MULTI PANCAKE &amp; WAFFLE MIX</v>
      </c>
      <c r="G37" s="49">
        <f>IFERROR(VLOOKUP(E37,'BRI Insert'!A:D,4,FALSE),MISC!A30)</f>
        <v>0</v>
      </c>
    </row>
    <row r="38" spans="1:7" x14ac:dyDescent="0.25">
      <c r="A38" s="15">
        <v>1536</v>
      </c>
      <c r="B38" s="49" t="str">
        <f>IFERROR(VLOOKUP(A38,'BRI Insert'!A:C,3,FALSE),(VLOOKUP(A38,'Product Names BRI'!A:B,2,FALSE)))</f>
        <v>QUICK ROLLED OATS</v>
      </c>
      <c r="C38" s="50">
        <f>IFERROR(VLOOKUP(A38,'BRI Insert'!A:D,4,FALSE),MISC!A11)</f>
        <v>0</v>
      </c>
      <c r="E38" s="15">
        <v>2955</v>
      </c>
      <c r="F38" s="49" t="str">
        <f>IFERROR(VLOOKUP(E38,'BRI Insert'!A:C,3,FALSE),(VLOOKUP(E38,'Product Names BRI'!A:B,2,FALSE)))</f>
        <v>SEASONED RYE BAGEL CHIPS</v>
      </c>
      <c r="G38" s="49">
        <f>IFERROR(VLOOKUP(E38,'BRI Insert'!A:D,4,FALSE),MISC!A31)</f>
        <v>0</v>
      </c>
    </row>
    <row r="39" spans="1:7" x14ac:dyDescent="0.25">
      <c r="A39" s="15">
        <v>1537</v>
      </c>
      <c r="B39" s="49" t="str">
        <f>IFERROR(VLOOKUP(A39,'BRI Insert'!A:C,3,FALSE),(VLOOKUP(A39,'Product Names BRI'!A:B,2,FALSE)))</f>
        <v>CORN MEAL YELLOW MWWI NON GMO</v>
      </c>
      <c r="C39" s="50">
        <f>IFERROR(VLOOKUP(A39,'BRI Insert'!A:D,4,FALSE),MISC!A17)</f>
        <v>0</v>
      </c>
      <c r="E39" s="15">
        <v>2975</v>
      </c>
      <c r="F39" s="49" t="str">
        <f>IFERROR(VLOOKUP(E39,'BRI Insert'!A:C,3,FALSE),(VLOOKUP(E39,'Product Names BRI'!A:B,2,FALSE)))</f>
        <v>PB&amp;B SNACK MIX</v>
      </c>
      <c r="G39" s="49">
        <f>IFERROR(VLOOKUP(E39,'BRI Insert'!A:D,4,FALSE),MISC!A32)</f>
        <v>0</v>
      </c>
    </row>
    <row r="40" spans="1:7" x14ac:dyDescent="0.25">
      <c r="A40" s="15">
        <v>1538</v>
      </c>
      <c r="B40" s="49" t="str">
        <f>IFERROR(VLOOKUP(A40,'BRI Insert'!A:C,3,FALSE),(VLOOKUP(A40,'Product Names BRI'!A:B,2,FALSE)))</f>
        <v>WHITE BRAN SOFT WHEAT</v>
      </c>
      <c r="C40" s="50">
        <f>IFERROR(VLOOKUP(A40,'BRI Insert'!A:D,4,FALSE),MISC!A12)</f>
        <v>0.5</v>
      </c>
      <c r="E40" s="15">
        <v>3051</v>
      </c>
      <c r="F40" s="49" t="str">
        <f>IFERROR(VLOOKUP(E40,'BRI Insert'!A:C,3,FALSE),(VLOOKUP(E40,'Product Names BRI'!A:B,2,FALSE)))</f>
        <v>ORGANIC BARLEY FLAKES</v>
      </c>
      <c r="G40" s="49">
        <f>IFERROR(VLOOKUP(E40,'BRI Insert'!A:D,4,FALSE),MISC!A33)</f>
        <v>0</v>
      </c>
    </row>
    <row r="41" spans="1:7" x14ac:dyDescent="0.25">
      <c r="A41" s="15">
        <v>1541</v>
      </c>
      <c r="B41" s="49" t="str">
        <f>IFERROR(VLOOKUP(A41,'BRI Insert'!A:C,3,FALSE),(VLOOKUP(A41,'Product Names BRI'!A:B,2,FALSE)))</f>
        <v>MILLET HULLED</v>
      </c>
      <c r="C41" s="50">
        <f>IFERROR(VLOOKUP(A41,'BRI Insert'!A:D,4,FALSE),MISC!A23)</f>
        <v>0</v>
      </c>
      <c r="E41" s="15">
        <v>3052</v>
      </c>
      <c r="F41" s="49" t="str">
        <f>IFERROR(VLOOKUP(E41,'BRI Insert'!A:C,3,FALSE),(VLOOKUP(E41,'Product Names BRI'!A:B,2,FALSE)))</f>
        <v>PUFFED BROWN RICE</v>
      </c>
      <c r="G41" s="49">
        <f>IFERROR(VLOOKUP(E41,'BRI Insert'!A:D,4,FALSE),MISC!A34)</f>
        <v>0</v>
      </c>
    </row>
    <row r="42" spans="1:7" x14ac:dyDescent="0.25">
      <c r="A42" s="15">
        <v>1542</v>
      </c>
      <c r="B42" s="49" t="str">
        <f>IFERROR(VLOOKUP(A42,'BRI Insert'!A:C,3,FALSE),(VLOOKUP(A42,'Product Names BRI'!A:B,2,FALSE)))</f>
        <v>COUSCOUS</v>
      </c>
      <c r="C42" s="50">
        <f>IFERROR(VLOOKUP(A42,'BRI Insert'!A:D,4,FALSE),MISC!A24)</f>
        <v>0</v>
      </c>
      <c r="E42" s="15">
        <v>3065</v>
      </c>
      <c r="F42" s="49" t="str">
        <f>IFERROR(VLOOKUP(E42,'BRI Insert'!A:C,3,FALSE),(VLOOKUP(E42,'Product Names BRI'!A:B,2,FALSE)))</f>
        <v>GRUMBLING BELLIES TRAIL MIX</v>
      </c>
      <c r="G42" s="49">
        <f>IFERROR(VLOOKUP(E42,'BRI Insert'!A:D,4,FALSE),MISC!A35)</f>
        <v>0</v>
      </c>
    </row>
    <row r="43" spans="1:7" x14ac:dyDescent="0.25">
      <c r="A43" s="15">
        <v>1543</v>
      </c>
      <c r="B43" s="49" t="str">
        <f>IFERROR(VLOOKUP(A43,'BRI Insert'!A:C,3,FALSE),(VLOOKUP(A43,'Product Names BRI'!A:B,2,FALSE)))</f>
        <v>BULGUR WHEAT MEDIUM</v>
      </c>
      <c r="C43" s="50">
        <f>IFERROR(VLOOKUP(A43,'BRI Insert'!A:D,4,FALSE),MISC!A26)</f>
        <v>0.25</v>
      </c>
      <c r="E43" s="15">
        <v>3067</v>
      </c>
      <c r="F43" s="49" t="str">
        <f>IFERROR(VLOOKUP(E43,'BRI Insert'!A:C,3,FALSE),(VLOOKUP(E43,'Product Names BRI'!A:B,2,FALSE)))</f>
        <v>COCO-NUTS FOR CHOC TRAIL MIX</v>
      </c>
      <c r="G43" s="49">
        <f>IFERROR(VLOOKUP(E43,'BRI Insert'!A:D,4,FALSE),MISC!A36)</f>
        <v>0</v>
      </c>
    </row>
  </sheetData>
  <sortState ref="A5:A43">
    <sortCondition ref="A5"/>
  </sortState>
  <pageMargins left="0.4" right="0.25" top="0.75" bottom="0.75" header="0.3" footer="0.3"/>
  <pageSetup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3"/>
  <sheetViews>
    <sheetView topLeftCell="A10" workbookViewId="0">
      <selection activeCell="I5" sqref="I5:I10"/>
    </sheetView>
  </sheetViews>
  <sheetFormatPr defaultRowHeight="15" x14ac:dyDescent="0.25"/>
  <cols>
    <col min="1" max="1" width="7.5703125" customWidth="1"/>
    <col min="2" max="2" width="31.28515625" customWidth="1"/>
    <col min="3" max="3" width="7" customWidth="1"/>
    <col min="4" max="4" width="5.42578125" customWidth="1"/>
    <col min="6" max="6" width="31.42578125" customWidth="1"/>
    <col min="7" max="7" width="7.85546875" customWidth="1"/>
  </cols>
  <sheetData>
    <row r="1" spans="1:7" ht="44.25" x14ac:dyDescent="0.25">
      <c r="A1" s="30" t="s">
        <v>1094</v>
      </c>
      <c r="F1" s="3"/>
      <c r="G1" s="3"/>
    </row>
    <row r="2" spans="1:7" ht="24.75" x14ac:dyDescent="0.25">
      <c r="B2" s="2"/>
      <c r="C2" s="2"/>
      <c r="D2" s="2"/>
      <c r="E2" s="4"/>
      <c r="F2" s="3"/>
      <c r="G2" s="3"/>
    </row>
    <row r="3" spans="1:7" ht="20.25" thickBot="1" x14ac:dyDescent="0.3">
      <c r="A3" s="22" t="s">
        <v>861</v>
      </c>
      <c r="B3" s="23" t="s">
        <v>919</v>
      </c>
      <c r="C3" s="24" t="s">
        <v>0</v>
      </c>
      <c r="E3" s="22" t="s">
        <v>861</v>
      </c>
      <c r="F3" s="23" t="s">
        <v>919</v>
      </c>
      <c r="G3" s="24" t="s">
        <v>0</v>
      </c>
    </row>
    <row r="4" spans="1:7" x14ac:dyDescent="0.25">
      <c r="A4" s="3"/>
      <c r="B4" s="3"/>
      <c r="C4" s="3"/>
    </row>
    <row r="5" spans="1:7" x14ac:dyDescent="0.25">
      <c r="A5" s="15">
        <v>1</v>
      </c>
      <c r="B5" s="25" t="str">
        <f>IFERROR(VLOOKUP(A5,'BRI Insert'!A:C,3,FALSE),(VLOOKUP(A5,'Product Names BRI'!A:B,2,FALSE)))</f>
        <v>TREAT YOURSELFIE TRAIL MIX</v>
      </c>
      <c r="C5" s="26">
        <f>IFERROR(VLOOKUP(A5,'BRI Insert'!A:D,4,FALSE),MISC!A20)</f>
        <v>0</v>
      </c>
      <c r="E5" s="15">
        <v>71</v>
      </c>
      <c r="F5" s="25" t="str">
        <f>IFERROR(VLOOKUP(E5,'BRI Insert'!A:C,3,FALSE),(VLOOKUP(E5,'Product Names BRI'!A:B,2,FALSE)))</f>
        <v>PRETZEL TWISTS NO SALT ADDED</v>
      </c>
      <c r="G5" s="25">
        <f>IFERROR(VLOOKUP(E5,'BRI Insert'!A:D,4,FALSE),MISC!A1)</f>
        <v>1</v>
      </c>
    </row>
    <row r="6" spans="1:7" x14ac:dyDescent="0.25">
      <c r="A6" s="15">
        <v>2</v>
      </c>
      <c r="B6" s="25" t="str">
        <f>IFERROR(VLOOKUP(A6,'BRI Insert'!A:C,3,FALSE),(VLOOKUP(A6,'Product Names BRI'!A:B,2,FALSE)))</f>
        <v>HUNGRY, HUNGRY HIPPIE TRAIL MX</v>
      </c>
      <c r="C6" s="26">
        <f>IFERROR(VLOOKUP(A6,'BRI Insert'!A:D,4,FALSE),MISC!A25)</f>
        <v>0.25</v>
      </c>
      <c r="E6" s="15">
        <v>74</v>
      </c>
      <c r="F6" s="25" t="str">
        <f>IFERROR(VLOOKUP(E6,'BRI Insert'!A:C,3,FALSE),(VLOOKUP(E6,'Product Names BRI'!A:B,2,FALSE)))</f>
        <v>DARK CHOCOLATE COV. PRETZELS</v>
      </c>
      <c r="G6" s="25">
        <f>IFERROR(VLOOKUP(E6,'BRI Insert'!A:D,4,FALSE),MISC!A13)</f>
        <v>1</v>
      </c>
    </row>
    <row r="7" spans="1:7" x14ac:dyDescent="0.25">
      <c r="A7" s="15">
        <v>7</v>
      </c>
      <c r="B7" s="25" t="str">
        <f>IFERROR(VLOOKUP(A7,'BRI Insert'!A:C,3,FALSE),(VLOOKUP(A7,'Product Names BRI'!A:B,2,FALSE)))</f>
        <v>CRUNCHIE MUNCHIE MIX,SWT&amp;SALTY</v>
      </c>
      <c r="C7" s="26">
        <f>IFERROR(VLOOKUP(A7,'BRI Insert'!A:D,4,FALSE),MISC!A21)</f>
        <v>0.75</v>
      </c>
      <c r="E7" s="15">
        <v>86</v>
      </c>
      <c r="F7" s="25" t="str">
        <f>IFERROR(VLOOKUP(E7,'BRI Insert'!A:C,3,FALSE),(VLOOKUP(E7,'Product Names BRI'!A:B,2,FALSE)))</f>
        <v>HONEY MUSTARD SOURDOUGH BITS</v>
      </c>
      <c r="G7" s="25">
        <f>IFERROR(VLOOKUP(E7,'BRI Insert'!A:D,4,FALSE),MISC!A14)</f>
        <v>1</v>
      </c>
    </row>
    <row r="8" spans="1:7" x14ac:dyDescent="0.25">
      <c r="A8" s="15">
        <v>11</v>
      </c>
      <c r="B8" s="25" t="str">
        <f>IFERROR(VLOOKUP(A8,'BRI Insert'!A:C,3,FALSE),(VLOOKUP(A8,'Product Names BRI'!A:B,2,FALSE)))</f>
        <v>WHITE - POPPING CORN</v>
      </c>
      <c r="C8" s="26">
        <f>IFERROR(VLOOKUP(A8,'BRI Insert'!A:D,4,FALSE),MISC!A13)</f>
        <v>0</v>
      </c>
      <c r="E8" s="15">
        <v>88</v>
      </c>
      <c r="F8" s="25" t="str">
        <f>IFERROR(VLOOKUP(E8,'BRI Insert'!A:C,3,FALSE),(VLOOKUP(E8,'Product Names BRI'!A:B,2,FALSE)))</f>
        <v>DRIED MIXED VEGETABLE CHIPS</v>
      </c>
      <c r="G8" s="25">
        <f>IFERROR(VLOOKUP(E8,'BRI Insert'!A:D,4,FALSE),MISC!A12)</f>
        <v>0</v>
      </c>
    </row>
    <row r="9" spans="1:7" x14ac:dyDescent="0.25">
      <c r="A9" s="15">
        <v>13</v>
      </c>
      <c r="B9" s="25" t="str">
        <f>IFERROR(VLOOKUP(A9,'BRI Insert'!A:C,3,FALSE),(VLOOKUP(A9,'Product Names BRI'!A:B,2,FALSE)))</f>
        <v>CHEESE STICKS</v>
      </c>
      <c r="C9" s="26">
        <f>IFERROR(VLOOKUP(A9,'BRI Insert'!A:D,4,FALSE),MISC!A27)</f>
        <v>0.5</v>
      </c>
      <c r="E9" s="15">
        <v>89</v>
      </c>
      <c r="F9" s="25" t="str">
        <f>IFERROR(VLOOKUP(E9,'BRI Insert'!A:C,3,FALSE),(VLOOKUP(E9,'Product Names BRI'!A:B,2,FALSE)))</f>
        <v>WASABI COATED GREEN PEAS</v>
      </c>
      <c r="G9" s="25">
        <f>IFERROR(VLOOKUP(E9,'BRI Insert'!A:D,4,FALSE),MISC!A8)</f>
        <v>0</v>
      </c>
    </row>
    <row r="10" spans="1:7" x14ac:dyDescent="0.25">
      <c r="A10" s="15">
        <v>14</v>
      </c>
      <c r="B10" s="25" t="str">
        <f>IFERROR(VLOOKUP(A10,'BRI Insert'!A:C,3,FALSE),(VLOOKUP(A10,'Product Names BRI'!A:B,2,FALSE)))</f>
        <v>CASSAVA CHIPS - PLAIN</v>
      </c>
      <c r="C10" s="26">
        <f>IFERROR(VLOOKUP(A10,'BRI Insert'!A:D,4,FALSE),MISC!A4)</f>
        <v>0</v>
      </c>
      <c r="E10" s="15">
        <v>96</v>
      </c>
      <c r="F10" s="25" t="str">
        <f>IFERROR(VLOOKUP(E10,'BRI Insert'!A:C,3,FALSE),(VLOOKUP(E10,'Product Names BRI'!A:B,2,FALSE)))</f>
        <v>GREEN PEAS</v>
      </c>
      <c r="G10" s="25">
        <f>IFERROR(VLOOKUP(E10,'BRI Insert'!A:D,4,FALSE),MISC!A10)</f>
        <v>0.25</v>
      </c>
    </row>
    <row r="11" spans="1:7" x14ac:dyDescent="0.25">
      <c r="A11" s="15">
        <v>15</v>
      </c>
      <c r="B11" s="25" t="str">
        <f>IFERROR(VLOOKUP(A11,'BRI Insert'!A:C,3,FALSE),(VLOOKUP(A11,'Product Names BRI'!A:B,2,FALSE)))</f>
        <v>CASSAVA CHIPS - SPICY</v>
      </c>
      <c r="C11" s="26">
        <f>IFERROR(VLOOKUP(A11,'BRI Insert'!A:D,4,FALSE),MISC!A8)</f>
        <v>0</v>
      </c>
      <c r="E11" s="15">
        <v>1320</v>
      </c>
      <c r="F11" s="25" t="str">
        <f>IFERROR(VLOOKUP(E11,'BRI Insert'!A:C,3,FALSE),(VLOOKUP(E11,'Product Names BRI'!A:B,2,FALSE)))</f>
        <v>CHOCOLATE SHORTBREAD</v>
      </c>
      <c r="G11" s="25">
        <f>IFERROR(VLOOKUP(E11,'BRI Insert'!A:D,4,FALSE),MISC!A4)</f>
        <v>0.25</v>
      </c>
    </row>
    <row r="12" spans="1:7" x14ac:dyDescent="0.25">
      <c r="A12" s="15">
        <v>16</v>
      </c>
      <c r="B12" s="25" t="str">
        <f>IFERROR(VLOOKUP(A12,'BRI Insert'!A:C,3,FALSE),(VLOOKUP(A12,'Product Names BRI'!A:B,2,FALSE)))</f>
        <v>BBQ CORN CHIPS</v>
      </c>
      <c r="C12" s="26">
        <f>IFERROR(VLOOKUP(A12,'BRI Insert'!A:D,4,FALSE),MISC!A19)</f>
        <v>0.25</v>
      </c>
      <c r="E12" s="15">
        <v>1327</v>
      </c>
      <c r="F12" s="25" t="str">
        <f>IFERROR(VLOOKUP(E12,'BRI Insert'!A:C,3,FALSE),(VLOOKUP(E12,'Product Names BRI'!A:B,2,FALSE)))</f>
        <v>MAPLE LEAF CREME COOKIES</v>
      </c>
      <c r="G12" s="25">
        <f>IFERROR(VLOOKUP(E12,'BRI Insert'!A:D,4,FALSE),MISC!A7)</f>
        <v>1</v>
      </c>
    </row>
    <row r="13" spans="1:7" x14ac:dyDescent="0.25">
      <c r="A13" s="15">
        <v>17</v>
      </c>
      <c r="B13" s="25" t="str">
        <f>IFERROR(VLOOKUP(A13,'BRI Insert'!A:C,3,FALSE),(VLOOKUP(A13,'Product Names BRI'!A:B,2,FALSE)))</f>
        <v>CORN CHIPS - PLAIN</v>
      </c>
      <c r="C13" s="26">
        <f>IFERROR(VLOOKUP(A13,'BRI Insert'!A:D,4,FALSE),MISC!A31)</f>
        <v>0.5</v>
      </c>
      <c r="E13" s="15">
        <v>1337</v>
      </c>
      <c r="F13" s="25" t="str">
        <f>IFERROR(VLOOKUP(E13,'BRI Insert'!A:C,3,FALSE),(VLOOKUP(E13,'Product Names BRI'!A:B,2,FALSE)))</f>
        <v>SOCIAL TEA COOKIES</v>
      </c>
      <c r="G13" s="25">
        <f>IFERROR(VLOOKUP(E13,'BRI Insert'!A:D,4,FALSE),MISC!A20)</f>
        <v>0</v>
      </c>
    </row>
    <row r="14" spans="1:7" x14ac:dyDescent="0.25">
      <c r="A14" s="15">
        <v>19</v>
      </c>
      <c r="B14" s="25" t="str">
        <f>IFERROR(VLOOKUP(A14,'BRI Insert'!A:C,3,FALSE),(VLOOKUP(A14,'Product Names BRI'!A:B,2,FALSE)))</f>
        <v>CORNNUTS SALTED</v>
      </c>
      <c r="C14" s="26">
        <f>IFERROR(VLOOKUP(A14,'BRI Insert'!A:D,4,FALSE),MISC!A15)</f>
        <v>1</v>
      </c>
      <c r="E14" s="15">
        <v>1346</v>
      </c>
      <c r="F14" s="25" t="str">
        <f>IFERROR(VLOOKUP(E14,'BRI Insert'!A:C,3,FALSE),(VLOOKUP(E14,'Product Names BRI'!A:B,2,FALSE)))</f>
        <v>HONEY GRAHAM CUB COOKIES</v>
      </c>
      <c r="G14" s="25">
        <f>IFERROR(VLOOKUP(E14,'BRI Insert'!A:D,4,FALSE),MISC!A21)</f>
        <v>0</v>
      </c>
    </row>
    <row r="15" spans="1:7" x14ac:dyDescent="0.25">
      <c r="A15" s="15">
        <v>20</v>
      </c>
      <c r="B15" s="25" t="str">
        <f>IFERROR(VLOOKUP(A15,'BRI Insert'!A:C,3,FALSE),(VLOOKUP(A15,'Product Names BRI'!A:B,2,FALSE)))</f>
        <v>SESAME STICKS</v>
      </c>
      <c r="C15" s="26">
        <f>IFERROR(VLOOKUP(A15,'BRI Insert'!A:D,4,FALSE),MISC!A18)</f>
        <v>0</v>
      </c>
      <c r="E15" s="15">
        <v>2236</v>
      </c>
      <c r="F15" s="25" t="str">
        <f>IFERROR(VLOOKUP(E15,'BRI Insert'!A:C,3,FALSE),(VLOOKUP(E15,'Product Names BRI'!A:B,2,FALSE)))</f>
        <v>ULTIMATE LEMON CREME COOKIES</v>
      </c>
      <c r="G15" s="25">
        <f>IFERROR(VLOOKUP(E15,'BRI Insert'!A:D,4,FALSE),MISC!A9)</f>
        <v>0</v>
      </c>
    </row>
    <row r="16" spans="1:7" x14ac:dyDescent="0.25">
      <c r="A16" s="15">
        <v>21</v>
      </c>
      <c r="B16" s="25" t="str">
        <f>IFERROR(VLOOKUP(A16,'BRI Insert'!A:C,3,FALSE),(VLOOKUP(A16,'Product Names BRI'!A:B,2,FALSE)))</f>
        <v>PLANTAIN CHIPS (SPICY)</v>
      </c>
      <c r="C16" s="26">
        <f>IFERROR(VLOOKUP(A16,'BRI Insert'!A:D,4,FALSE),MISC!A6)</f>
        <v>0.25</v>
      </c>
      <c r="E16" s="15">
        <v>2307</v>
      </c>
      <c r="F16" s="25" t="str">
        <f>IFERROR(VLOOKUP(E16,'BRI Insert'!A:C,3,FALSE),(VLOOKUP(E16,'Product Names BRI'!A:B,2,FALSE)))</f>
        <v>PEEK FREANS ASSRT CREAM COOKIE</v>
      </c>
      <c r="G16" s="25">
        <f>IFERROR(VLOOKUP(E16,'BRI Insert'!A:D,4,FALSE),MISC!A17)</f>
        <v>0</v>
      </c>
    </row>
    <row r="17" spans="1:7" x14ac:dyDescent="0.25">
      <c r="A17" s="15">
        <v>22</v>
      </c>
      <c r="B17" s="25" t="str">
        <f>IFERROR(VLOOKUP(A17,'BRI Insert'!A:C,3,FALSE),(VLOOKUP(A17,'Product Names BRI'!A:B,2,FALSE)))</f>
        <v>CORNNUTS UNSALTED</v>
      </c>
      <c r="C17" s="26">
        <f>IFERROR(VLOOKUP(A17,'BRI Insert'!A:D,4,FALSE),MISC!A33)</f>
        <v>0</v>
      </c>
      <c r="E17" s="15">
        <v>2409</v>
      </c>
      <c r="F17" s="25" t="str">
        <f>IFERROR(VLOOKUP(E17,'BRI Insert'!A:C,3,FALSE),(VLOOKUP(E17,'Product Names BRI'!A:B,2,FALSE)))</f>
        <v>PUMPKIN SEEDS, HULLED RAW</v>
      </c>
      <c r="G17" s="25">
        <f>IFERROR(VLOOKUP(E17,'BRI Insert'!A:D,4,FALSE),MISC!A18)</f>
        <v>3</v>
      </c>
    </row>
    <row r="18" spans="1:7" x14ac:dyDescent="0.25">
      <c r="A18" s="15">
        <v>23</v>
      </c>
      <c r="B18" s="25" t="str">
        <f>IFERROR(VLOOKUP(A18,'BRI Insert'!A:C,3,FALSE),(VLOOKUP(A18,'Product Names BRI'!A:B,2,FALSE)))</f>
        <v>BANANA CHIPS</v>
      </c>
      <c r="C18" s="26">
        <f>IFERROR(VLOOKUP(A18,'BRI Insert'!A:D,4,FALSE),MISC!A2)</f>
        <v>0</v>
      </c>
      <c r="E18" s="15">
        <v>2606</v>
      </c>
      <c r="F18" s="25" t="str">
        <f>IFERROR(VLOOKUP(E18,'BRI Insert'!A:C,3,FALSE),(VLOOKUP(E18,'Product Names BRI'!A:B,2,FALSE)))</f>
        <v>KRACKER NUTS CHIPOTLE BBQ</v>
      </c>
      <c r="G18" s="25">
        <f>IFERROR(VLOOKUP(E18,'BRI Insert'!A:D,4,FALSE),MISC!A19)</f>
        <v>0</v>
      </c>
    </row>
    <row r="19" spans="1:7" x14ac:dyDescent="0.25">
      <c r="A19" s="15">
        <v>24</v>
      </c>
      <c r="B19" s="25" t="str">
        <f>IFERROR(VLOOKUP(A19,'BRI Insert'!A:C,3,FALSE),(VLOOKUP(A19,'Product Names BRI'!A:B,2,FALSE)))</f>
        <v>CARMEL CORN</v>
      </c>
      <c r="C19" s="26">
        <f>IFERROR(VLOOKUP(A19,'BRI Insert'!A:D,4,FALSE),MISC!A5)</f>
        <v>0.75</v>
      </c>
      <c r="E19" s="15">
        <v>2607</v>
      </c>
      <c r="F19" s="25" t="str">
        <f>IFERROR(VLOOKUP(E19,'BRI Insert'!A:C,3,FALSE),(VLOOKUP(E19,'Product Names BRI'!A:B,2,FALSE)))</f>
        <v>KRACKER NUTS DILL PICKLE</v>
      </c>
      <c r="G19" s="25">
        <f>IFERROR(VLOOKUP(E19,'BRI Insert'!A:D,4,FALSE),MISC!A26)</f>
        <v>0</v>
      </c>
    </row>
    <row r="20" spans="1:7" x14ac:dyDescent="0.25">
      <c r="A20" s="15">
        <v>25</v>
      </c>
      <c r="B20" s="25" t="str">
        <f>IFERROR(VLOOKUP(A20,'BRI Insert'!A:C,3,FALSE),(VLOOKUP(A20,'Product Names BRI'!A:B,2,FALSE)))</f>
        <v>PUMPKIN SEED HULLED NS DRY RST</v>
      </c>
      <c r="C20" s="26">
        <f>IFERROR(VLOOKUP(A20,'BRI Insert'!A:D,4,FALSE),MISC!A22)</f>
        <v>0</v>
      </c>
      <c r="E20" s="15">
        <v>2608</v>
      </c>
      <c r="F20" s="25" t="str">
        <f>IFERROR(VLOOKUP(E20,'BRI Insert'!A:C,3,FALSE),(VLOOKUP(E20,'Product Names BRI'!A:B,2,FALSE)))</f>
        <v>KRACKER NUTS JALAPENO CHEDDAR</v>
      </c>
      <c r="G20" s="25">
        <f>IFERROR(VLOOKUP(E20,'BRI Insert'!A:D,4,FALSE),MISC!A16)</f>
        <v>0</v>
      </c>
    </row>
    <row r="21" spans="1:7" x14ac:dyDescent="0.25">
      <c r="A21" s="15">
        <v>28</v>
      </c>
      <c r="B21" s="25" t="str">
        <f>IFERROR(VLOOKUP(A21,'BRI Insert'!A:C,3,FALSE),(VLOOKUP(A21,'Product Names BRI'!A:B,2,FALSE)))</f>
        <v>PUMPKIN SEEDS HULLED R&amp;S</v>
      </c>
      <c r="C21" s="26">
        <f>IFERROR(VLOOKUP(A21,'BRI Insert'!A:D,4,FALSE),MISC!A1)</f>
        <v>0</v>
      </c>
      <c r="E21" s="15">
        <v>2633</v>
      </c>
      <c r="F21" s="25" t="str">
        <f>IFERROR(VLOOKUP(E21,'BRI Insert'!A:C,3,FALSE),(VLOOKUP(E21,'Product Names BRI'!A:B,2,FALSE)))</f>
        <v>CORNNUTS RANCH</v>
      </c>
      <c r="G21" s="25">
        <f>IFERROR(VLOOKUP(E21,'BRI Insert'!A:D,4,FALSE),MISC!A22)</f>
        <v>0.5</v>
      </c>
    </row>
    <row r="22" spans="1:7" x14ac:dyDescent="0.25">
      <c r="A22" s="15">
        <v>29</v>
      </c>
      <c r="B22" s="25" t="str">
        <f>IFERROR(VLOOKUP(A22,'BRI Insert'!A:C,3,FALSE),(VLOOKUP(A22,'Product Names BRI'!A:B,2,FALSE)))</f>
        <v>PLANTAIN CHIPS</v>
      </c>
      <c r="C22" s="26">
        <f>IFERROR(VLOOKUP(A22,'BRI Insert'!A:D,4,FALSE),MISC!A7)</f>
        <v>0.25</v>
      </c>
      <c r="E22" s="15">
        <v>2694</v>
      </c>
      <c r="F22" s="25" t="str">
        <f>IFERROR(VLOOKUP(E22,'BRI Insert'!A:C,3,FALSE),(VLOOKUP(E22,'Product Names BRI'!A:B,2,FALSE)))</f>
        <v>CORNNUTS JALAPENO CHEDDAR</v>
      </c>
      <c r="G22" s="25">
        <f>IFERROR(VLOOKUP(E22,'BRI Insert'!A:D,4,FALSE),MISC!A23)</f>
        <v>0</v>
      </c>
    </row>
    <row r="23" spans="1:7" x14ac:dyDescent="0.25">
      <c r="A23" s="15">
        <v>31</v>
      </c>
      <c r="B23" s="25" t="str">
        <f>IFERROR(VLOOKUP(A23,'BRI Insert'!A:C,3,FALSE),(VLOOKUP(A23,'Product Names BRI'!A:B,2,FALSE)))</f>
        <v>GARLIC SESAME STICK</v>
      </c>
      <c r="C23" s="26">
        <f>IFERROR(VLOOKUP(A23,'BRI Insert'!A:D,4,FALSE),MISC!A37)</f>
        <v>0.25</v>
      </c>
      <c r="E23" s="15">
        <v>2742</v>
      </c>
      <c r="F23" s="25" t="str">
        <f>IFERROR(VLOOKUP(E23,'BRI Insert'!A:C,3,FALSE),(VLOOKUP(E23,'Product Names BRI'!A:B,2,FALSE)))</f>
        <v>JALAPENO CHEDDAR CRUNCHIES</v>
      </c>
      <c r="G23" s="25">
        <f>IFERROR(VLOOKUP(E23,'BRI Insert'!A:D,4,FALSE),MISC!A24)</f>
        <v>0.5</v>
      </c>
    </row>
    <row r="24" spans="1:7" x14ac:dyDescent="0.25">
      <c r="A24" s="15">
        <v>36</v>
      </c>
      <c r="B24" s="25" t="str">
        <f>IFERROR(VLOOKUP(A24,'BRI Insert'!A:C,3,FALSE),(VLOOKUP(A24,'Product Names BRI'!A:B,2,FALSE)))</f>
        <v>CORNNUTS BBQ</v>
      </c>
      <c r="C24" s="26">
        <f>IFERROR(VLOOKUP(A24,'BRI Insert'!A:D,4,FALSE),MISC!A38)</f>
        <v>0</v>
      </c>
      <c r="E24" s="15">
        <v>2765</v>
      </c>
      <c r="F24" s="25" t="str">
        <f>IFERROR(VLOOKUP(E24,'BRI Insert'!A:C,3,FALSE),(VLOOKUP(E24,'Product Names BRI'!A:B,2,FALSE)))</f>
        <v>TRIPLE PLAY MIX</v>
      </c>
      <c r="G24" s="25">
        <f>IFERROR(VLOOKUP(E24,'BRI Insert'!A:D,4,FALSE),MISC!A25)</f>
        <v>0</v>
      </c>
    </row>
    <row r="25" spans="1:7" x14ac:dyDescent="0.25">
      <c r="A25" s="15">
        <v>37</v>
      </c>
      <c r="B25" s="25" t="str">
        <f>IFERROR(VLOOKUP(A25,'BRI Insert'!A:C,3,FALSE),(VLOOKUP(A25,'Product Names BRI'!A:B,2,FALSE)))</f>
        <v>CHEESE CRUNCHIES</v>
      </c>
      <c r="C25" s="26">
        <f>IFERROR(VLOOKUP(A25,'BRI Insert'!A:D,4,FALSE),MISC!A29)</f>
        <v>0.25</v>
      </c>
      <c r="E25" s="15">
        <v>2773</v>
      </c>
      <c r="F25" s="25" t="str">
        <f>IFERROR(VLOOKUP(E25,'BRI Insert'!A:C,3,FALSE),(VLOOKUP(E25,'Product Names BRI'!A:B,2,FALSE)))</f>
        <v>DRY RSTD CHICK PEAS SEA SALT</v>
      </c>
      <c r="G25" s="25">
        <f>IFERROR(VLOOKUP(E25,'BRI Insert'!A:D,4,FALSE),MISC!A5)</f>
        <v>0</v>
      </c>
    </row>
    <row r="26" spans="1:7" x14ac:dyDescent="0.25">
      <c r="A26" s="15">
        <v>38</v>
      </c>
      <c r="B26" s="25" t="str">
        <f>IFERROR(VLOOKUP(A26,'BRI Insert'!A:C,3,FALSE),(VLOOKUP(A26,'Product Names BRI'!A:B,2,FALSE)))</f>
        <v>PUMPKIN SDS HULLD RSTD UNSALTD</v>
      </c>
      <c r="C26" s="26">
        <f>IFERROR(VLOOKUP(A26,'BRI Insert'!A:D,4,FALSE),MISC!A3)</f>
        <v>1</v>
      </c>
      <c r="E26" s="15">
        <v>2774</v>
      </c>
      <c r="F26" s="25" t="str">
        <f>IFERROR(VLOOKUP(E26,'BRI Insert'!A:C,3,FALSE),(VLOOKUP(E26,'Product Names BRI'!A:B,2,FALSE)))</f>
        <v>DRY RSTD CHICK PEAS BBQ</v>
      </c>
      <c r="G26" s="25">
        <f>IFERROR(VLOOKUP(E26,'BRI Insert'!A:D,4,FALSE),MISC!A6)</f>
        <v>0</v>
      </c>
    </row>
    <row r="27" spans="1:7" x14ac:dyDescent="0.25">
      <c r="A27" s="15">
        <v>39</v>
      </c>
      <c r="B27" s="25" t="str">
        <f>IFERROR(VLOOKUP(A27,'BRI Insert'!A:C,3,FALSE),(VLOOKUP(A27,'Product Names BRI'!A:B,2,FALSE)))</f>
        <v>BITS &amp; BITES ORIGINAL</v>
      </c>
      <c r="C27" s="26">
        <f>IFERROR(VLOOKUP(A27,'BRI Insert'!A:D,4,FALSE),MISC!A16)</f>
        <v>0.5</v>
      </c>
      <c r="E27" s="15">
        <v>2775</v>
      </c>
      <c r="F27" s="25" t="str">
        <f>IFERROR(VLOOKUP(E27,'BRI Insert'!A:C,3,FALSE),(VLOOKUP(E27,'Product Names BRI'!A:B,2,FALSE)))</f>
        <v>ANIMAL CRACKERS</v>
      </c>
      <c r="G27" s="25">
        <f>IFERROR(VLOOKUP(E27,'BRI Insert'!A:D,4,FALSE),MISC!A3)</f>
        <v>0.5</v>
      </c>
    </row>
    <row r="28" spans="1:7" x14ac:dyDescent="0.25">
      <c r="A28" s="15">
        <v>41</v>
      </c>
      <c r="B28" s="25" t="str">
        <f>IFERROR(VLOOKUP(A28,'BRI Insert'!A:C,3,FALSE),(VLOOKUP(A28,'Product Names BRI'!A:B,2,FALSE)))</f>
        <v>BITS &amp; BITES BBQ</v>
      </c>
      <c r="C28" s="26">
        <f>IFERROR(VLOOKUP(A28,'BRI Insert'!A:D,4,FALSE),MISC!A30)</f>
        <v>1</v>
      </c>
      <c r="E28" s="15">
        <v>2787</v>
      </c>
      <c r="F28" s="25" t="str">
        <f>IFERROR(VLOOKUP(E28,'BRI Insert'!A:C,3,FALSE),(VLOOKUP(E28,'Product Names BRI'!A:B,2,FALSE)))</f>
        <v>PEANUT BUTTER CUP POPCORN</v>
      </c>
      <c r="G28" s="25">
        <f>IFERROR(VLOOKUP(E28,'BRI Insert'!A:D,4,FALSE),MISC!A15)</f>
        <v>0.25</v>
      </c>
    </row>
    <row r="29" spans="1:7" x14ac:dyDescent="0.25">
      <c r="A29" s="34">
        <v>42</v>
      </c>
      <c r="B29" s="25" t="str">
        <f>IFERROR(VLOOKUP(A29,'BRI Insert'!A:C,3,FALSE),(VLOOKUP(A29,'Product Names BRI'!A:B,2,FALSE)))</f>
        <v>PUMPKIN SEED IN SH. DRY R&amp;S</v>
      </c>
      <c r="C29" s="26">
        <f>IFERROR(VLOOKUP(A29,'BRI Insert'!A:D,4,FALSE),MISC!A10)</f>
        <v>0</v>
      </c>
      <c r="E29" s="15">
        <v>2827</v>
      </c>
      <c r="F29" s="25" t="str">
        <f>IFERROR(VLOOKUP(E29,'BRI Insert'!A:C,3,FALSE),(VLOOKUP(E29,'Product Names BRI'!A:B,2,FALSE)))</f>
        <v>PEEK FREANS DIGESTIVE COOKIES</v>
      </c>
      <c r="G29" s="25">
        <f>IFERROR(VLOOKUP(E29,'BRI Insert'!A:D,4,FALSE),MISC!A2)</f>
        <v>0</v>
      </c>
    </row>
    <row r="30" spans="1:7" x14ac:dyDescent="0.25">
      <c r="A30" s="15">
        <v>48</v>
      </c>
      <c r="B30" s="25" t="str">
        <f>IFERROR(VLOOKUP(A30,'BRI Insert'!A:C,3,FALSE),(VLOOKUP(A30,'Product Names BRI'!A:B,2,FALSE)))</f>
        <v>PLAIN - POTATO STICKS</v>
      </c>
      <c r="C30" s="26">
        <f>IFERROR(VLOOKUP(A30,'BRI Insert'!A:D,4,FALSE),MISC!A34)</f>
        <v>0.75</v>
      </c>
      <c r="E30" s="15">
        <v>2876</v>
      </c>
      <c r="F30" s="25" t="str">
        <f>IFERROR(VLOOKUP(E30,'BRI Insert'!A:C,3,FALSE),(VLOOKUP(E30,'Product Names BRI'!A:B,2,FALSE)))</f>
        <v>SOUR CRM &amp; HAB. PRETZEL NUGGET</v>
      </c>
      <c r="G30" s="25">
        <f>IFERROR(VLOOKUP(E30,'BRI Insert'!A:D,4,FALSE),MISC!A11)</f>
        <v>0</v>
      </c>
    </row>
    <row r="31" spans="1:7" x14ac:dyDescent="0.25">
      <c r="A31" s="15">
        <v>49</v>
      </c>
      <c r="B31" s="25" t="str">
        <f>IFERROR(VLOOKUP(A31,'BRI Insert'!A:C,3,FALSE),(VLOOKUP(A31,'Product Names BRI'!A:B,2,FALSE)))</f>
        <v>BACON HICKORY STICKS</v>
      </c>
      <c r="C31" s="26">
        <f>IFERROR(VLOOKUP(A31,'BRI Insert'!A:D,4,FALSE),MISC!A9)</f>
        <v>0</v>
      </c>
      <c r="E31" s="15">
        <v>2877</v>
      </c>
      <c r="F31" s="25" t="str">
        <f>IFERROR(VLOOKUP(E31,'BRI Insert'!A:C,3,FALSE),(VLOOKUP(E31,'Product Names BRI'!A:B,2,FALSE)))</f>
        <v>CHEDDAR &amp; ALE PRTZEL NUGGETS</v>
      </c>
      <c r="G31" s="25">
        <f>IFERROR(VLOOKUP(E31,'BRI Insert'!A:D,4,FALSE),MISC!A37)</f>
        <v>0</v>
      </c>
    </row>
    <row r="32" spans="1:7" x14ac:dyDescent="0.25">
      <c r="A32" s="15">
        <v>50</v>
      </c>
      <c r="B32" s="25" t="str">
        <f>IFERROR(VLOOKUP(A32,'BRI Insert'!A:C,3,FALSE),(VLOOKUP(A32,'Product Names BRI'!A:B,2,FALSE)))</f>
        <v>RINGOLOS - BBQ</v>
      </c>
      <c r="C32" s="26">
        <f>IFERROR(VLOOKUP(A32,'BRI Insert'!A:D,4,FALSE),MISC!A28)</f>
        <v>0</v>
      </c>
      <c r="E32" s="15">
        <v>2893</v>
      </c>
      <c r="F32" s="25" t="str">
        <f>IFERROR(VLOOKUP(E32,'BRI Insert'!A:C,3,FALSE),(VLOOKUP(E32,'Product Names BRI'!A:B,2,FALSE)))</f>
        <v>SALTED CARAMEL PRETZEL NUGGETS</v>
      </c>
      <c r="G32" s="25">
        <f>IFERROR(VLOOKUP(E32,'BRI Insert'!A:D,4,FALSE),MISC!A38)</f>
        <v>0</v>
      </c>
    </row>
    <row r="33" spans="1:7" x14ac:dyDescent="0.25">
      <c r="A33" s="15">
        <v>51</v>
      </c>
      <c r="B33" s="25" t="str">
        <f>IFERROR(VLOOKUP(A33,'BRI Insert'!A:C,3,FALSE),(VLOOKUP(A33,'Product Names BRI'!A:B,2,FALSE)))</f>
        <v>ONION RINGS SOUR CREAM</v>
      </c>
      <c r="C33" s="26">
        <f>IFERROR(VLOOKUP(A33,'BRI Insert'!A:D,4,FALSE),MISC!A14)</f>
        <v>0</v>
      </c>
      <c r="E33" s="15">
        <v>2930</v>
      </c>
      <c r="F33" s="25" t="str">
        <f>IFERROR(VLOOKUP(E33,'BRI Insert'!A:C,3,FALSE),(VLOOKUP(E33,'Product Names BRI'!A:B,2,FALSE)))</f>
        <v>DRY RST CHICK PEAS SR CRM &amp; ON</v>
      </c>
      <c r="G33" s="25">
        <f>IFERROR(VLOOKUP(E33,'BRI Insert'!A:D,4,FALSE),MISC!A39)</f>
        <v>0.25</v>
      </c>
    </row>
    <row r="34" spans="1:7" x14ac:dyDescent="0.25">
      <c r="A34" s="15">
        <v>52</v>
      </c>
      <c r="B34" s="25" t="str">
        <f>IFERROR(VLOOKUP(A34,'BRI Insert'!A:C,3,FALSE),(VLOOKUP(A34,'Product Names BRI'!A:B,2,FALSE)))</f>
        <v>BITS &amp; BITES CHEESE</v>
      </c>
      <c r="C34" s="26">
        <f>IFERROR(VLOOKUP(A34,'BRI Insert'!A:D,4,FALSE),MISC!A39)</f>
        <v>1</v>
      </c>
      <c r="E34" s="15">
        <v>2951</v>
      </c>
      <c r="F34" s="25" t="str">
        <f>IFERROR(VLOOKUP(E34,'BRI Insert'!A:C,3,FALSE),(VLOOKUP(E34,'Product Names BRI'!A:B,2,FALSE)))</f>
        <v>WHITE CHOCOLATE FUDGE COOKIES</v>
      </c>
      <c r="G34" s="25">
        <f>IFERROR(VLOOKUP(E34,'BRI Insert'!A:D,4,FALSE),MISC!A27)</f>
        <v>0</v>
      </c>
    </row>
    <row r="35" spans="1:7" x14ac:dyDescent="0.25">
      <c r="A35" s="15">
        <v>53</v>
      </c>
      <c r="B35" s="25" t="str">
        <f>IFERROR(VLOOKUP(A35,'BRI Insert'!A:C,3,FALSE),(VLOOKUP(A35,'Product Names BRI'!A:B,2,FALSE)))</f>
        <v>PARTY MIX</v>
      </c>
      <c r="C35" s="26">
        <f>IFERROR(VLOOKUP(A35,'BRI Insert'!A:D,4,FALSE),MISC!A32)</f>
        <v>0.5</v>
      </c>
      <c r="E35" s="15">
        <v>2952</v>
      </c>
      <c r="F35" s="25" t="str">
        <f>IFERROR(VLOOKUP(E35,'BRI Insert'!A:C,3,FALSE),(VLOOKUP(E35,'Product Names BRI'!A:B,2,FALSE)))</f>
        <v>PURE MLK CH SS CAR PRETZEL NIB</v>
      </c>
      <c r="G35" s="25">
        <f>IFERROR(VLOOKUP(E35,'BRI Insert'!A:D,4,FALSE),MISC!A28)</f>
        <v>0</v>
      </c>
    </row>
    <row r="36" spans="1:7" x14ac:dyDescent="0.25">
      <c r="A36" s="15">
        <v>54</v>
      </c>
      <c r="B36" s="25" t="str">
        <f>IFERROR(VLOOKUP(A36,'BRI Insert'!A:C,3,FALSE),(VLOOKUP(A36,'Product Names BRI'!A:B,2,FALSE)))</f>
        <v>CORN CHIPS WITH FLAX</v>
      </c>
      <c r="C36" s="26">
        <f>IFERROR(VLOOKUP(A36,'BRI Insert'!A:D,4,FALSE),MISC!A36)</f>
        <v>0.5</v>
      </c>
      <c r="E36" s="15">
        <v>2976</v>
      </c>
      <c r="F36" s="25" t="str">
        <f>IFERROR(VLOOKUP(E36,'BRI Insert'!A:C,3,FALSE),(VLOOKUP(E36,'Product Names BRI'!A:B,2,FALSE)))</f>
        <v>ORGANIC TOASTED COCONUT SLICES</v>
      </c>
      <c r="G36" s="25">
        <f>IFERROR(VLOOKUP(E36,'BRI Insert'!A:D,4,FALSE),MISC!A29)</f>
        <v>0</v>
      </c>
    </row>
    <row r="37" spans="1:7" x14ac:dyDescent="0.25">
      <c r="A37" s="15">
        <v>57</v>
      </c>
      <c r="B37" s="25" t="str">
        <f>IFERROR(VLOOKUP(A37,'BRI Insert'!A:C,3,FALSE),(VLOOKUP(A37,'Product Names BRI'!A:B,2,FALSE)))</f>
        <v>PRETZEL STICK SALTED</v>
      </c>
      <c r="C37" s="26">
        <f>IFERROR(VLOOKUP(A37,'BRI Insert'!A:D,4,FALSE),MISC!A35)</f>
        <v>1</v>
      </c>
      <c r="E37" s="15">
        <v>2977</v>
      </c>
      <c r="F37" s="25" t="str">
        <f>IFERROR(VLOOKUP(E37,'BRI Insert'!A:C,3,FALSE),(VLOOKUP(E37,'Product Names BRI'!A:B,2,FALSE)))</f>
        <v>PEANUT BTR MLK CH PRETZL BALLS</v>
      </c>
      <c r="G37" s="25">
        <f>IFERROR(VLOOKUP(E37,'BRI Insert'!A:D,4,FALSE),MISC!A30)</f>
        <v>0</v>
      </c>
    </row>
    <row r="38" spans="1:7" x14ac:dyDescent="0.25">
      <c r="A38" s="15">
        <v>58</v>
      </c>
      <c r="B38" s="25" t="str">
        <f>IFERROR(VLOOKUP(A38,'BRI Insert'!A:C,3,FALSE),(VLOOKUP(A38,'Product Names BRI'!A:B,2,FALSE)))</f>
        <v>PRETZEL TWIST SALTED</v>
      </c>
      <c r="C38" s="26">
        <f>IFERROR(VLOOKUP(A38,'BRI Insert'!A:D,4,FALSE),MISC!A11)</f>
        <v>0.25</v>
      </c>
      <c r="E38" s="15">
        <v>2988</v>
      </c>
      <c r="F38" s="25" t="str">
        <f>IFERROR(VLOOKUP(E38,'BRI Insert'!A:C,3,FALSE),(VLOOKUP(E38,'Product Names BRI'!A:B,2,FALSE)))</f>
        <v>PEANUT BUTTER MARSHMALLW CRNCH</v>
      </c>
      <c r="G38" s="25">
        <f>IFERROR(VLOOKUP(E38,'BRI Insert'!A:D,4,FALSE),MISC!A31)</f>
        <v>0</v>
      </c>
    </row>
    <row r="39" spans="1:7" x14ac:dyDescent="0.25">
      <c r="A39" s="15">
        <v>60</v>
      </c>
      <c r="B39" s="25" t="str">
        <f>IFERROR(VLOOKUP(A39,'BRI Insert'!A:C,3,FALSE),(VLOOKUP(A39,'Product Names BRI'!A:B,2,FALSE)))</f>
        <v>JUMBO POPPING CORN</v>
      </c>
      <c r="C39" s="26">
        <f>IFERROR(VLOOKUP(A39,'BRI Insert'!A:D,4,FALSE),MISC!A17)</f>
        <v>0</v>
      </c>
      <c r="E39" s="15">
        <v>3048</v>
      </c>
      <c r="F39" s="25" t="str">
        <f>IFERROR(VLOOKUP(E39,'BRI Insert'!A:C,3,FALSE),(VLOOKUP(E39,'Product Names BRI'!A:B,2,FALSE)))</f>
        <v>SEA SALT TRUFFLE QUINOA PUFFS</v>
      </c>
      <c r="G39" s="25">
        <f>IFERROR(VLOOKUP(E39,'BRI Insert'!A:D,4,FALSE),MISC!A32)</f>
        <v>0</v>
      </c>
    </row>
    <row r="40" spans="1:7" x14ac:dyDescent="0.25">
      <c r="A40" s="15">
        <v>61</v>
      </c>
      <c r="B40" s="25" t="str">
        <f>IFERROR(VLOOKUP(A40,'BRI Insert'!A:C,3,FALSE),(VLOOKUP(A40,'Product Names BRI'!A:B,2,FALSE)))</f>
        <v>WAFFLE PRETZELS SALTED</v>
      </c>
      <c r="C40" s="26">
        <f>IFERROR(VLOOKUP(A40,'BRI Insert'!A:D,4,FALSE),MISC!A12)</f>
        <v>0.75</v>
      </c>
      <c r="E40" s="15">
        <v>3049</v>
      </c>
      <c r="F40" s="25" t="str">
        <f>IFERROR(VLOOKUP(E40,'BRI Insert'!A:C,3,FALSE),(VLOOKUP(E40,'Product Names BRI'!A:B,2,FALSE)))</f>
        <v>SWEET CHILI QUINOA PUFFS</v>
      </c>
      <c r="G40" s="25">
        <f>IFERROR(VLOOKUP(E40,'BRI Insert'!A:D,4,FALSE),MISC!A33)</f>
        <v>0</v>
      </c>
    </row>
    <row r="41" spans="1:7" x14ac:dyDescent="0.25">
      <c r="A41" s="15">
        <v>62</v>
      </c>
      <c r="B41" s="25" t="str">
        <f>IFERROR(VLOOKUP(A41,'BRI Insert'!A:C,3,FALSE),(VLOOKUP(A41,'Product Names BRI'!A:B,2,FALSE)))</f>
        <v>MILK CHOC COVERED PRETZELS</v>
      </c>
      <c r="C41" s="26">
        <f>IFERROR(VLOOKUP(A41,'BRI Insert'!A:D,4,FALSE),MISC!A23)</f>
        <v>0.5</v>
      </c>
      <c r="E41" s="15">
        <v>3066</v>
      </c>
      <c r="F41" s="25" t="str">
        <f>IFERROR(VLOOKUP(E41,'BRI Insert'!A:C,3,FALSE),(VLOOKUP(E41,'Product Names BRI'!A:B,2,FALSE)))</f>
        <v>BIRTHDAY CAKE COOKIE</v>
      </c>
      <c r="G41" s="25">
        <f>IFERROR(VLOOKUP(E41,'BRI Insert'!A:D,4,FALSE),MISC!A34)</f>
        <v>0</v>
      </c>
    </row>
    <row r="42" spans="1:7" x14ac:dyDescent="0.25">
      <c r="A42" s="15">
        <v>64</v>
      </c>
      <c r="B42" s="25" t="str">
        <f>IFERROR(VLOOKUP(A42,'BRI Insert'!A:C,3,FALSE),(VLOOKUP(A42,'Product Names BRI'!A:B,2,FALSE)))</f>
        <v>YOGURT PRETZELS</v>
      </c>
      <c r="C42" s="26">
        <f>IFERROR(VLOOKUP(A42,'BRI Insert'!A:D,4,FALSE),MISC!A24)</f>
        <v>0</v>
      </c>
      <c r="E42" s="15">
        <v>3070</v>
      </c>
      <c r="F42" s="25" t="str">
        <f>IFERROR(VLOOKUP(E42,'BRI Insert'!A:C,3,FALSE),(VLOOKUP(E42,'Product Names BRI'!A:B,2,FALSE)))</f>
        <v>CINNAMON SUGAR COOKIES</v>
      </c>
      <c r="G42" s="25">
        <f>IFERROR(VLOOKUP(E42,'BRI Insert'!A:D,4,FALSE),MISC!A35)</f>
        <v>0</v>
      </c>
    </row>
    <row r="43" spans="1:7" x14ac:dyDescent="0.25">
      <c r="A43" s="15">
        <v>70</v>
      </c>
      <c r="B43" s="25" t="str">
        <f>IFERROR(VLOOKUP(A43,'BRI Insert'!A:C,3,FALSE),(VLOOKUP(A43,'Product Names BRI'!A:B,2,FALSE)))</f>
        <v>SOURDOUGH DUTCH PRETZELS</v>
      </c>
      <c r="C43" s="26">
        <f>IFERROR(VLOOKUP(A43,'BRI Insert'!A:D,4,FALSE),MISC!A26)</f>
        <v>0</v>
      </c>
      <c r="E43" s="15">
        <v>3071</v>
      </c>
      <c r="F43" s="25" t="str">
        <f>IFERROR(VLOOKUP(E43,'BRI Insert'!A:C,3,FALSE),(VLOOKUP(E43,'Product Names BRI'!A:B,2,FALSE)))</f>
        <v>POWDERED SUGAR CANNOLI CHIPS</v>
      </c>
      <c r="G43" s="25">
        <f>IFERROR(VLOOKUP(E43,'BRI Insert'!A:D,4,FALSE),MISC!A36)</f>
        <v>0</v>
      </c>
    </row>
  </sheetData>
  <sortState ref="A5:A43">
    <sortCondition ref="A5"/>
  </sortState>
  <pageMargins left="0.4" right="0.25" top="0.75" bottom="0.75" header="0.3" footer="0.3"/>
  <pageSetup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43"/>
  <sheetViews>
    <sheetView topLeftCell="A7" workbookViewId="0">
      <selection activeCell="E5" sqref="E5:E43"/>
    </sheetView>
  </sheetViews>
  <sheetFormatPr defaultRowHeight="15" x14ac:dyDescent="0.25"/>
  <cols>
    <col min="1" max="1" width="7.5703125" customWidth="1"/>
    <col min="2" max="2" width="31.28515625" customWidth="1"/>
    <col min="3" max="3" width="7" customWidth="1"/>
    <col min="4" max="4" width="5.42578125" customWidth="1"/>
    <col min="6" max="6" width="31.42578125" customWidth="1"/>
    <col min="7" max="7" width="7.85546875" customWidth="1"/>
  </cols>
  <sheetData>
    <row r="1" spans="1:7" ht="44.25" x14ac:dyDescent="0.25">
      <c r="A1" s="30" t="s">
        <v>1095</v>
      </c>
      <c r="F1" s="3"/>
      <c r="G1" s="3"/>
    </row>
    <row r="2" spans="1:7" ht="24.75" x14ac:dyDescent="0.25">
      <c r="B2" s="2"/>
      <c r="C2" s="2"/>
      <c r="D2" s="2"/>
      <c r="E2" s="4"/>
      <c r="F2" s="3"/>
      <c r="G2" s="3"/>
    </row>
    <row r="3" spans="1:7" ht="20.25" thickBot="1" x14ac:dyDescent="0.3">
      <c r="A3" s="22" t="s">
        <v>861</v>
      </c>
      <c r="B3" s="23" t="s">
        <v>919</v>
      </c>
      <c r="C3" s="24" t="s">
        <v>0</v>
      </c>
      <c r="E3" s="22" t="s">
        <v>861</v>
      </c>
      <c r="F3" s="23" t="s">
        <v>919</v>
      </c>
      <c r="G3" s="24" t="s">
        <v>0</v>
      </c>
    </row>
    <row r="4" spans="1:7" x14ac:dyDescent="0.25">
      <c r="A4" s="3"/>
      <c r="B4" s="3"/>
      <c r="C4" s="3"/>
    </row>
    <row r="5" spans="1:7" x14ac:dyDescent="0.25">
      <c r="A5" s="15">
        <v>500</v>
      </c>
      <c r="B5" s="25" t="str">
        <f>IFERROR(VLOOKUP(A5,'BRI Insert'!A:C,3,FALSE),(VLOOKUP(A5,'Product Names BRI'!A:B,2,FALSE)))</f>
        <v>MARSHMALLOW ASSORTED</v>
      </c>
      <c r="C5" s="26">
        <f>IFERROR(VLOOKUP(A5,'BRI Insert'!A:D,4,FALSE),MISC!A20)</f>
        <v>0</v>
      </c>
      <c r="E5" s="15">
        <v>2591</v>
      </c>
      <c r="F5" s="25" t="str">
        <f>IFERROR(VLOOKUP(E5,'BRI Insert'!A:C,3,FALSE),(VLOOKUP(E5,'Product Names BRI'!A:B,2,FALSE)))</f>
        <v>OMG'S DARK CHOCOLATE</v>
      </c>
      <c r="G5" s="25">
        <f>IFERROR(VLOOKUP(E5,'BRI Insert'!A:D,4,FALSE),MISC!A1)</f>
        <v>0</v>
      </c>
    </row>
    <row r="6" spans="1:7" x14ac:dyDescent="0.25">
      <c r="A6" s="15">
        <v>502</v>
      </c>
      <c r="B6" s="25" t="str">
        <f>IFERROR(VLOOKUP(A6,'BRI Insert'!A:C,3,FALSE),(VLOOKUP(A6,'Product Names BRI'!A:B,2,FALSE)))</f>
        <v>MARSHMALLOW STRAWBERRY</v>
      </c>
      <c r="C6" s="26">
        <f>IFERROR(VLOOKUP(A6,'BRI Insert'!A:D,4,FALSE),MISC!A25)</f>
        <v>0</v>
      </c>
      <c r="E6" s="15">
        <v>2592</v>
      </c>
      <c r="F6" s="25" t="str">
        <f>IFERROR(VLOOKUP(E6,'BRI Insert'!A:C,3,FALSE),(VLOOKUP(E6,'Product Names BRI'!A:B,2,FALSE)))</f>
        <v>OMG'S PEANUT</v>
      </c>
      <c r="G6" s="25">
        <f>IFERROR(VLOOKUP(E6,'BRI Insert'!A:D,4,FALSE),MISC!A13)</f>
        <v>0</v>
      </c>
    </row>
    <row r="7" spans="1:7" x14ac:dyDescent="0.25">
      <c r="A7" s="15">
        <v>509</v>
      </c>
      <c r="B7" s="25" t="str">
        <f>IFERROR(VLOOKUP(A7,'BRI Insert'!A:C,3,FALSE),(VLOOKUP(A7,'Product Names BRI'!A:B,2,FALSE)))</f>
        <v>MILK CHOCOLATE CARAMEL BALLS</v>
      </c>
      <c r="C7" s="26">
        <f>IFERROR(VLOOKUP(A7,'BRI Insert'!A:D,4,FALSE),MISC!A21)</f>
        <v>0.25</v>
      </c>
      <c r="E7" s="15">
        <v>2600</v>
      </c>
      <c r="F7" s="25" t="str">
        <f>IFERROR(VLOOKUP(E7,'BRI Insert'!A:C,3,FALSE),(VLOOKUP(E7,'Product Names BRI'!A:B,2,FALSE)))</f>
        <v>STRAWBERRY PUFF GUMMIES</v>
      </c>
      <c r="G7" s="25">
        <f>IFERROR(VLOOKUP(E7,'BRI Insert'!A:D,4,FALSE),MISC!A14)</f>
        <v>0</v>
      </c>
    </row>
    <row r="8" spans="1:7" x14ac:dyDescent="0.25">
      <c r="A8" s="15">
        <v>510</v>
      </c>
      <c r="B8" s="25" t="str">
        <f>IFERROR(VLOOKUP(A8,'BRI Insert'!A:C,3,FALSE),(VLOOKUP(A8,'Product Names BRI'!A:B,2,FALSE)))</f>
        <v>PURE CHOCOLATE JUBES</v>
      </c>
      <c r="C8" s="26">
        <f>IFERROR(VLOOKUP(A8,'BRI Insert'!A:D,4,FALSE),MISC!A13)</f>
        <v>0</v>
      </c>
      <c r="E8" s="15">
        <v>2604</v>
      </c>
      <c r="F8" s="25" t="str">
        <f>IFERROR(VLOOKUP(E8,'BRI Insert'!A:C,3,FALSE),(VLOOKUP(E8,'Product Names BRI'!A:B,2,FALSE)))</f>
        <v>PISTACHIO CRUNCH</v>
      </c>
      <c r="G8" s="25">
        <f>IFERROR(VLOOKUP(E8,'BRI Insert'!A:D,4,FALSE),MISC!A12)</f>
        <v>0</v>
      </c>
    </row>
    <row r="9" spans="1:7" x14ac:dyDescent="0.25">
      <c r="A9" s="15">
        <v>516</v>
      </c>
      <c r="B9" s="25" t="str">
        <f>IFERROR(VLOOKUP(A9,'BRI Insert'!A:C,3,FALSE),(VLOOKUP(A9,'Product Names BRI'!A:B,2,FALSE)))</f>
        <v>NEILSONS DARK ROSEBUDS</v>
      </c>
      <c r="C9" s="26">
        <f>IFERROR(VLOOKUP(A9,'BRI Insert'!A:D,4,FALSE),MISC!A27)</f>
        <v>0.25</v>
      </c>
      <c r="E9" s="15">
        <v>2617</v>
      </c>
      <c r="F9" s="25" t="str">
        <f>IFERROR(VLOOKUP(E9,'BRI Insert'!A:C,3,FALSE),(VLOOKUP(E9,'Product Names BRI'!A:B,2,FALSE)))</f>
        <v>HERSHEY DROPS MILK CHOCOLATE</v>
      </c>
      <c r="G9" s="25">
        <f>IFERROR(VLOOKUP(E9,'BRI Insert'!A:D,4,FALSE),MISC!A8)</f>
        <v>0</v>
      </c>
    </row>
    <row r="10" spans="1:7" x14ac:dyDescent="0.25">
      <c r="A10" s="15">
        <v>528</v>
      </c>
      <c r="B10" s="25" t="str">
        <f>IFERROR(VLOOKUP(A10,'BRI Insert'!A:C,3,FALSE),(VLOOKUP(A10,'Product Names BRI'!A:B,2,FALSE)))</f>
        <v>YOGURT COVERED CRANBERRIES</v>
      </c>
      <c r="C10" s="26">
        <f>IFERROR(VLOOKUP(A10,'BRI Insert'!A:D,4,FALSE),MISC!A4)</f>
        <v>0</v>
      </c>
      <c r="E10" s="15">
        <v>2681</v>
      </c>
      <c r="F10" s="25" t="str">
        <f>IFERROR(VLOOKUP(E10,'BRI Insert'!A:C,3,FALSE),(VLOOKUP(E10,'Product Names BRI'!A:B,2,FALSE)))</f>
        <v>COOKIES N' CREME MINI BARS</v>
      </c>
      <c r="G10" s="25">
        <f>IFERROR(VLOOKUP(E10,'BRI Insert'!A:D,4,FALSE),MISC!A10)</f>
        <v>0.25</v>
      </c>
    </row>
    <row r="11" spans="1:7" x14ac:dyDescent="0.25">
      <c r="A11" s="15">
        <v>533</v>
      </c>
      <c r="B11" s="25" t="str">
        <f>IFERROR(VLOOKUP(A11,'BRI Insert'!A:C,3,FALSE),(VLOOKUP(A11,'Product Names BRI'!A:B,2,FALSE)))</f>
        <v>YOGURT RAISINS</v>
      </c>
      <c r="C11" s="26">
        <f>IFERROR(VLOOKUP(A11,'BRI Insert'!A:D,4,FALSE),MISC!A8)</f>
        <v>0.5</v>
      </c>
      <c r="E11" s="15">
        <v>2721</v>
      </c>
      <c r="F11" s="25" t="str">
        <f>IFERROR(VLOOKUP(E11,'BRI Insert'!A:C,3,FALSE),(VLOOKUP(E11,'Product Names BRI'!A:B,2,FALSE)))</f>
        <v>MINI ROLO</v>
      </c>
      <c r="G11" s="25">
        <f>IFERROR(VLOOKUP(E11,'BRI Insert'!A:D,4,FALSE),MISC!A4)</f>
        <v>0</v>
      </c>
    </row>
    <row r="12" spans="1:7" x14ac:dyDescent="0.25">
      <c r="A12" s="15">
        <v>543</v>
      </c>
      <c r="B12" s="25" t="str">
        <f>IFERROR(VLOOKUP(A12,'BRI Insert'!A:C,3,FALSE),(VLOOKUP(A12,'Product Names BRI'!A:B,2,FALSE)))</f>
        <v>MACAROONS</v>
      </c>
      <c r="C12" s="26">
        <f>IFERROR(VLOOKUP(A12,'BRI Insert'!A:D,4,FALSE),MISC!A19)</f>
        <v>0</v>
      </c>
      <c r="E12" s="15">
        <v>2722</v>
      </c>
      <c r="F12" s="25" t="str">
        <f>IFERROR(VLOOKUP(E12,'BRI Insert'!A:C,3,FALSE),(VLOOKUP(E12,'Product Names BRI'!A:B,2,FALSE)))</f>
        <v>BELGIAN MILK CH SEA SALT BITES</v>
      </c>
      <c r="G12" s="25">
        <f>IFERROR(VLOOKUP(E12,'BRI Insert'!A:D,4,FALSE),MISC!A7)</f>
        <v>0.75</v>
      </c>
    </row>
    <row r="13" spans="1:7" x14ac:dyDescent="0.25">
      <c r="A13" s="15">
        <v>544</v>
      </c>
      <c r="B13" s="25" t="str">
        <f>IFERROR(VLOOKUP(A13,'BRI Insert'!A:C,3,FALSE),(VLOOKUP(A13,'Product Names BRI'!A:B,2,FALSE)))</f>
        <v>ROSEBUDS</v>
      </c>
      <c r="C13" s="26">
        <f>IFERROR(VLOOKUP(A13,'BRI Insert'!A:D,4,FALSE),MISC!A31)</f>
        <v>0</v>
      </c>
      <c r="E13" s="15">
        <v>2771</v>
      </c>
      <c r="F13" s="25" t="str">
        <f>IFERROR(VLOOKUP(E13,'BRI Insert'!A:C,3,FALSE),(VLOOKUP(E13,'Product Names BRI'!A:B,2,FALSE)))</f>
        <v>BELGIAN MILK CHOC. MACAROONS</v>
      </c>
      <c r="G13" s="25">
        <f>IFERROR(VLOOKUP(E13,'BRI Insert'!A:D,4,FALSE),MISC!A20)</f>
        <v>0</v>
      </c>
    </row>
    <row r="14" spans="1:7" x14ac:dyDescent="0.25">
      <c r="A14" s="15">
        <v>563</v>
      </c>
      <c r="B14" s="25" t="str">
        <f>IFERROR(VLOOKUP(A14,'BRI Insert'!A:C,3,FALSE),(VLOOKUP(A14,'Product Names BRI'!A:B,2,FALSE)))</f>
        <v>50% DK CHOC. COV. COFFEE BEANS</v>
      </c>
      <c r="C14" s="26">
        <f>IFERROR(VLOOKUP(A14,'BRI Insert'!A:D,4,FALSE),MISC!A15)</f>
        <v>0</v>
      </c>
      <c r="E14" s="15">
        <v>2786</v>
      </c>
      <c r="F14" s="25" t="str">
        <f>IFERROR(VLOOKUP(E14,'BRI Insert'!A:C,3,FALSE),(VLOOKUP(E14,'Product Names BRI'!A:B,2,FALSE)))</f>
        <v>S'MORES POPCORN</v>
      </c>
      <c r="G14" s="25">
        <f>IFERROR(VLOOKUP(E14,'BRI Insert'!A:D,4,FALSE),MISC!A21)</f>
        <v>0</v>
      </c>
    </row>
    <row r="15" spans="1:7" x14ac:dyDescent="0.25">
      <c r="A15" s="34">
        <v>575</v>
      </c>
      <c r="B15" s="25" t="str">
        <f>IFERROR(VLOOKUP(A15,'BRI Insert'!A:C,3,FALSE),(VLOOKUP(A15,'Product Names BRI'!A:B,2,FALSE)))</f>
        <v>CHOCOLATE YUMMIES</v>
      </c>
      <c r="C15" s="26">
        <f>IFERROR(VLOOKUP(A15,'BRI Insert'!A:D,4,FALSE),MISC!A18)</f>
        <v>0</v>
      </c>
      <c r="E15" s="15">
        <v>2790</v>
      </c>
      <c r="F15" s="25" t="str">
        <f>IFERROR(VLOOKUP(E15,'BRI Insert'!A:C,3,FALSE),(VLOOKUP(E15,'Product Names BRI'!A:B,2,FALSE)))</f>
        <v>FRUIT STAND GUMBALLS</v>
      </c>
      <c r="G15" s="25">
        <f>IFERROR(VLOOKUP(E15,'BRI Insert'!A:D,4,FALSE),MISC!A9)</f>
        <v>0</v>
      </c>
    </row>
    <row r="16" spans="1:7" x14ac:dyDescent="0.25">
      <c r="A16" s="15">
        <v>590</v>
      </c>
      <c r="B16" s="25" t="str">
        <f>IFERROR(VLOOKUP(A16,'BRI Insert'!A:C,3,FALSE),(VLOOKUP(A16,'Product Names BRI'!A:B,2,FALSE)))</f>
        <v>M&amp;M PEANUT CHOC. CANDIES</v>
      </c>
      <c r="C16" s="26">
        <f>IFERROR(VLOOKUP(A16,'BRI Insert'!A:D,4,FALSE),MISC!A6)</f>
        <v>0.25</v>
      </c>
      <c r="E16" s="15">
        <v>2813</v>
      </c>
      <c r="F16" s="25" t="str">
        <f>IFERROR(VLOOKUP(E16,'BRI Insert'!A:C,3,FALSE),(VLOOKUP(E16,'Product Names BRI'!A:B,2,FALSE)))</f>
        <v>OMG'S VANILLA ALMOND</v>
      </c>
      <c r="G16" s="25">
        <f>IFERROR(VLOOKUP(E16,'BRI Insert'!A:D,4,FALSE),MISC!A17)</f>
        <v>0.25</v>
      </c>
    </row>
    <row r="17" spans="1:7" x14ac:dyDescent="0.25">
      <c r="A17" s="15">
        <v>596</v>
      </c>
      <c r="B17" s="25" t="str">
        <f>IFERROR(VLOOKUP(A17,'BRI Insert'!A:C,3,FALSE),(VLOOKUP(A17,'Product Names BRI'!A:B,2,FALSE)))</f>
        <v>BIG TURK BITES</v>
      </c>
      <c r="C17" s="26">
        <f>IFERROR(VLOOKUP(A17,'BRI Insert'!A:D,4,FALSE),MISC!A33)</f>
        <v>0</v>
      </c>
      <c r="E17" s="15">
        <v>2844</v>
      </c>
      <c r="F17" s="25" t="str">
        <f>IFERROR(VLOOKUP(E17,'BRI Insert'!A:C,3,FALSE),(VLOOKUP(E17,'Product Names BRI'!A:B,2,FALSE)))</f>
        <v>ALMOND, CASHEW &amp; PUMPKIN CRNCH</v>
      </c>
      <c r="G17" s="25">
        <f>IFERROR(VLOOKUP(E17,'BRI Insert'!A:D,4,FALSE),MISC!A18)</f>
        <v>0</v>
      </c>
    </row>
    <row r="18" spans="1:7" x14ac:dyDescent="0.25">
      <c r="A18" s="15">
        <v>597</v>
      </c>
      <c r="B18" s="25" t="str">
        <f>IFERROR(VLOOKUP(A18,'BRI Insert'!A:C,3,FALSE),(VLOOKUP(A18,'Product Names BRI'!A:B,2,FALSE)))</f>
        <v>PEANUT BUTTER CUPS</v>
      </c>
      <c r="C18" s="26">
        <f>IFERROR(VLOOKUP(A18,'BRI Insert'!A:D,4,FALSE),MISC!A2)</f>
        <v>0.5</v>
      </c>
      <c r="E18" s="15">
        <v>2874</v>
      </c>
      <c r="F18" s="25" t="str">
        <f>IFERROR(VLOOKUP(E18,'BRI Insert'!A:C,3,FALSE),(VLOOKUP(E18,'Product Names BRI'!A:B,2,FALSE)))</f>
        <v>ISLAND RESERVE BLEND COFFEE</v>
      </c>
      <c r="G18" s="25">
        <f>IFERROR(VLOOKUP(E18,'BRI Insert'!A:D,4,FALSE),MISC!A19)</f>
        <v>1.5</v>
      </c>
    </row>
    <row r="19" spans="1:7" x14ac:dyDescent="0.25">
      <c r="A19" s="15">
        <v>605</v>
      </c>
      <c r="B19" s="25" t="str">
        <f>IFERROR(VLOOKUP(A19,'BRI Insert'!A:C,3,FALSE),(VLOOKUP(A19,'Product Names BRI'!A:B,2,FALSE)))</f>
        <v>YOGURT PEANUTS</v>
      </c>
      <c r="C19" s="26">
        <f>IFERROR(VLOOKUP(A19,'BRI Insert'!A:D,4,FALSE),MISC!A5)</f>
        <v>0</v>
      </c>
      <c r="E19" s="15">
        <v>2880</v>
      </c>
      <c r="F19" s="25" t="str">
        <f>IFERROR(VLOOKUP(E19,'BRI Insert'!A:C,3,FALSE),(VLOOKUP(E19,'Product Names BRI'!A:B,2,FALSE)))</f>
        <v>CH CVRD NUT CLSTR (CAS/AL/PIS)</v>
      </c>
      <c r="G19" s="25">
        <f>IFERROR(VLOOKUP(E19,'BRI Insert'!A:D,4,FALSE),MISC!A26)</f>
        <v>0</v>
      </c>
    </row>
    <row r="20" spans="1:7" x14ac:dyDescent="0.25">
      <c r="A20" s="15">
        <v>611</v>
      </c>
      <c r="B20" s="25" t="str">
        <f>IFERROR(VLOOKUP(A20,'BRI Insert'!A:C,3,FALSE),(VLOOKUP(A20,'Product Names BRI'!A:B,2,FALSE)))</f>
        <v>MILK CHOCOLATE PEANUTS</v>
      </c>
      <c r="C20" s="26">
        <f>IFERROR(VLOOKUP(A20,'BRI Insert'!A:D,4,FALSE),MISC!A22)</f>
        <v>0</v>
      </c>
      <c r="E20" s="15">
        <v>2882</v>
      </c>
      <c r="F20" s="25" t="str">
        <f>IFERROR(VLOOKUP(E20,'BRI Insert'!A:C,3,FALSE),(VLOOKUP(E20,'Product Names BRI'!A:B,2,FALSE)))</f>
        <v>SNICKERS BITES</v>
      </c>
      <c r="G20" s="25">
        <f>IFERROR(VLOOKUP(E20,'BRI Insert'!A:D,4,FALSE),MISC!A16)</f>
        <v>0.5</v>
      </c>
    </row>
    <row r="21" spans="1:7" x14ac:dyDescent="0.25">
      <c r="A21" s="15">
        <v>612</v>
      </c>
      <c r="B21" s="25" t="str">
        <f>IFERROR(VLOOKUP(A21,'BRI Insert'!A:C,3,FALSE),(VLOOKUP(A21,'Product Names BRI'!A:B,2,FALSE)))</f>
        <v>CHOCOLATE ALMOND BARK -DARK</v>
      </c>
      <c r="C21" s="26">
        <f>IFERROR(VLOOKUP(A21,'BRI Insert'!A:D,4,FALSE),MISC!A1)</f>
        <v>0</v>
      </c>
      <c r="E21" s="15">
        <v>2885</v>
      </c>
      <c r="F21" s="25" t="str">
        <f>IFERROR(VLOOKUP(E21,'BRI Insert'!A:C,3,FALSE),(VLOOKUP(E21,'Product Names BRI'!A:B,2,FALSE)))</f>
        <v>50% DARK CHOC COCONUT ALMONDS</v>
      </c>
      <c r="G21" s="25">
        <f>IFERROR(VLOOKUP(E21,'BRI Insert'!A:D,4,FALSE),MISC!A22)</f>
        <v>0</v>
      </c>
    </row>
    <row r="22" spans="1:7" x14ac:dyDescent="0.25">
      <c r="A22" s="15">
        <v>613</v>
      </c>
      <c r="B22" s="25" t="str">
        <f>IFERROR(VLOOKUP(A22,'BRI Insert'!A:C,3,FALSE),(VLOOKUP(A22,'Product Names BRI'!A:B,2,FALSE)))</f>
        <v>WHITE ALMOND BARK</v>
      </c>
      <c r="C22" s="26">
        <f>IFERROR(VLOOKUP(A22,'BRI Insert'!A:D,4,FALSE),MISC!A7)</f>
        <v>0</v>
      </c>
      <c r="E22" s="15">
        <v>2890</v>
      </c>
      <c r="F22" s="25" t="str">
        <f>IFERROR(VLOOKUP(E22,'BRI Insert'!A:C,3,FALSE),(VLOOKUP(E22,'Product Names BRI'!A:B,2,FALSE)))</f>
        <v>TWIX BITES</v>
      </c>
      <c r="G22" s="25">
        <f>IFERROR(VLOOKUP(E22,'BRI Insert'!A:D,4,FALSE),MISC!A23)</f>
        <v>0</v>
      </c>
    </row>
    <row r="23" spans="1:7" x14ac:dyDescent="0.25">
      <c r="A23" s="15">
        <v>620</v>
      </c>
      <c r="B23" s="25" t="str">
        <f>IFERROR(VLOOKUP(A23,'BRI Insert'!A:C,3,FALSE),(VLOOKUP(A23,'Product Names BRI'!A:B,2,FALSE)))</f>
        <v>M&amp;M PLAIN CHOC CANDIES</v>
      </c>
      <c r="C23" s="26">
        <f>IFERROR(VLOOKUP(A23,'BRI Insert'!A:D,4,FALSE),MISC!A37)</f>
        <v>0</v>
      </c>
      <c r="E23" s="15">
        <v>2909</v>
      </c>
      <c r="F23" s="25" t="str">
        <f>IFERROR(VLOOKUP(E23,'BRI Insert'!A:C,3,FALSE),(VLOOKUP(E23,'Product Names BRI'!A:B,2,FALSE)))</f>
        <v>WHITE CHOCOLATE ALMONDS</v>
      </c>
      <c r="G23" s="25">
        <f>IFERROR(VLOOKUP(E23,'BRI Insert'!A:D,4,FALSE),MISC!A24)</f>
        <v>0.25</v>
      </c>
    </row>
    <row r="24" spans="1:7" x14ac:dyDescent="0.25">
      <c r="A24" s="15">
        <v>626</v>
      </c>
      <c r="B24" s="25" t="str">
        <f>IFERROR(VLOOKUP(A24,'BRI Insert'!A:C,3,FALSE),(VLOOKUP(A24,'Product Names BRI'!A:B,2,FALSE)))</f>
        <v>REESE'S PIECES</v>
      </c>
      <c r="C24" s="26">
        <f>IFERROR(VLOOKUP(A24,'BRI Insert'!A:D,4,FALSE),MISC!A38)</f>
        <v>1.25</v>
      </c>
      <c r="E24" s="15">
        <v>2933</v>
      </c>
      <c r="F24" s="25" t="e">
        <f>IFERROR(VLOOKUP(E24,'BRI Insert'!A:C,3,FALSE),(VLOOKUP(E24,'Product Names BRI'!A:B,2,FALSE)))</f>
        <v>#N/A</v>
      </c>
      <c r="G24" s="25">
        <f>IFERROR(VLOOKUP(E24,'BRI Insert'!A:D,4,FALSE),MISC!A25)</f>
        <v>0</v>
      </c>
    </row>
    <row r="25" spans="1:7" x14ac:dyDescent="0.25">
      <c r="A25" s="15">
        <v>628</v>
      </c>
      <c r="B25" s="25" t="str">
        <f>IFERROR(VLOOKUP(A25,'BRI Insert'!A:C,3,FALSE),(VLOOKUP(A25,'Product Names BRI'!A:B,2,FALSE)))</f>
        <v>SMARTIES</v>
      </c>
      <c r="C25" s="26">
        <f>IFERROR(VLOOKUP(A25,'BRI Insert'!A:D,4,FALSE),MISC!A29)</f>
        <v>0</v>
      </c>
      <c r="E25" s="15">
        <v>2967</v>
      </c>
      <c r="F25" s="25" t="str">
        <f>IFERROR(VLOOKUP(E25,'BRI Insert'!A:C,3,FALSE),(VLOOKUP(E25,'Product Names BRI'!A:B,2,FALSE)))</f>
        <v>M&amp;M'S CRISPY CHOC CANDIES</v>
      </c>
      <c r="G25" s="25">
        <f>IFERROR(VLOOKUP(E25,'BRI Insert'!A:D,4,FALSE),MISC!A5)</f>
        <v>0</v>
      </c>
    </row>
    <row r="26" spans="1:7" x14ac:dyDescent="0.25">
      <c r="A26" s="15">
        <v>634</v>
      </c>
      <c r="B26" s="25" t="str">
        <f>IFERROR(VLOOKUP(A26,'BRI Insert'!A:C,3,FALSE),(VLOOKUP(A26,'Product Names BRI'!A:B,2,FALSE)))</f>
        <v>43% DARK CHOCOLATE RAISINS</v>
      </c>
      <c r="C26" s="26">
        <f>IFERROR(VLOOKUP(A26,'BRI Insert'!A:D,4,FALSE),MISC!A3)</f>
        <v>1</v>
      </c>
      <c r="E26" s="15">
        <v>3040</v>
      </c>
      <c r="F26" s="25" t="str">
        <f>IFERROR(VLOOKUP(E26,'BRI Insert'!A:C,3,FALSE),(VLOOKUP(E26,'Product Names BRI'!A:B,2,FALSE)))</f>
        <v>DARK CHOC COVD PUFFED QUINOA</v>
      </c>
      <c r="G26" s="25">
        <f>IFERROR(VLOOKUP(E26,'BRI Insert'!A:D,4,FALSE),MISC!A6)</f>
        <v>0</v>
      </c>
    </row>
    <row r="27" spans="1:7" x14ac:dyDescent="0.25">
      <c r="A27" s="15">
        <v>636</v>
      </c>
      <c r="B27" s="25" t="str">
        <f>IFERROR(VLOOKUP(A27,'BRI Insert'!A:C,3,FALSE),(VLOOKUP(A27,'Product Names BRI'!A:B,2,FALSE)))</f>
        <v>SKORS BARS</v>
      </c>
      <c r="C27" s="26">
        <f>IFERROR(VLOOKUP(A27,'BRI Insert'!A:D,4,FALSE),MISC!A16)</f>
        <v>0</v>
      </c>
      <c r="E27" s="15">
        <v>3053</v>
      </c>
      <c r="F27" s="25" t="str">
        <f>IFERROR(VLOOKUP(E27,'BRI Insert'!A:C,3,FALSE),(VLOOKUP(E27,'Product Names BRI'!A:B,2,FALSE)))</f>
        <v>OMG'S PEANUT BUTTER PRETZEL</v>
      </c>
      <c r="G27" s="25">
        <f>IFERROR(VLOOKUP(E27,'BRI Insert'!A:D,4,FALSE),MISC!A3)</f>
        <v>0</v>
      </c>
    </row>
    <row r="28" spans="1:7" x14ac:dyDescent="0.25">
      <c r="A28" s="15">
        <v>647</v>
      </c>
      <c r="B28" s="25" t="str">
        <f>IFERROR(VLOOKUP(A28,'BRI Insert'!A:C,3,FALSE),(VLOOKUP(A28,'Product Names BRI'!A:B,2,FALSE)))</f>
        <v>73% DARK CHOCOLATE ALMONDS</v>
      </c>
      <c r="C28" s="26">
        <f>IFERROR(VLOOKUP(A28,'BRI Insert'!A:D,4,FALSE),MISC!A30)</f>
        <v>0</v>
      </c>
      <c r="E28" s="15">
        <v>3072</v>
      </c>
      <c r="F28" s="25" t="str">
        <f>IFERROR(VLOOKUP(E28,'BRI Insert'!A:C,3,FALSE),(VLOOKUP(E28,'Product Names BRI'!A:B,2,FALSE)))</f>
        <v>FRUITFETTI POPCORN</v>
      </c>
      <c r="G28" s="25">
        <f>IFERROR(VLOOKUP(E28,'BRI Insert'!A:D,4,FALSE),MISC!A15)</f>
        <v>0.25</v>
      </c>
    </row>
    <row r="29" spans="1:7" x14ac:dyDescent="0.25">
      <c r="A29" s="15">
        <v>660</v>
      </c>
      <c r="B29" s="25" t="str">
        <f>IFERROR(VLOOKUP(A29,'BRI Insert'!A:C,3,FALSE),(VLOOKUP(A29,'Product Names BRI'!A:B,2,FALSE)))</f>
        <v>SOUR JELLY BEANS</v>
      </c>
      <c r="C29" s="26">
        <f>IFERROR(VLOOKUP(A29,'BRI Insert'!A:D,4,FALSE),MISC!A10)</f>
        <v>0</v>
      </c>
      <c r="E29" s="15">
        <v>3073</v>
      </c>
      <c r="F29" s="25" t="e">
        <f>IFERROR(VLOOKUP(E29,'BRI Insert'!A:C,3,FALSE),(VLOOKUP(E29,'Product Names BRI'!A:B,2,FALSE)))</f>
        <v>#N/A</v>
      </c>
      <c r="G29" s="25">
        <f>IFERROR(VLOOKUP(E29,'BRI Insert'!A:D,4,FALSE),MISC!A2)</f>
        <v>0</v>
      </c>
    </row>
    <row r="30" spans="1:7" x14ac:dyDescent="0.25">
      <c r="A30" s="15">
        <v>661</v>
      </c>
      <c r="B30" s="25" t="str">
        <f>IFERROR(VLOOKUP(A30,'BRI Insert'!A:C,3,FALSE),(VLOOKUP(A30,'Product Names BRI'!A:B,2,FALSE)))</f>
        <v>STRIPED MINTS</v>
      </c>
      <c r="C30" s="26">
        <f>IFERROR(VLOOKUP(A30,'BRI Insert'!A:D,4,FALSE),MISC!A34)</f>
        <v>0</v>
      </c>
      <c r="E30" s="15">
        <v>3074</v>
      </c>
      <c r="F30" s="25" t="str">
        <f>IFERROR(VLOOKUP(E30,'BRI Insert'!A:C,3,FALSE),(VLOOKUP(E30,'Product Names BRI'!A:B,2,FALSE)))</f>
        <v>SOUR PINEAPPLE GUMMIES</v>
      </c>
      <c r="G30" s="25">
        <f>IFERROR(VLOOKUP(E30,'BRI Insert'!A:D,4,FALSE),MISC!A11)</f>
        <v>0</v>
      </c>
    </row>
    <row r="31" spans="1:7" x14ac:dyDescent="0.25">
      <c r="A31" s="15">
        <v>663</v>
      </c>
      <c r="B31" s="25" t="str">
        <f>IFERROR(VLOOKUP(A31,'BRI Insert'!A:C,3,FALSE),(VLOOKUP(A31,'Product Names BRI'!A:B,2,FALSE)))</f>
        <v>MILK CHOCOLATE RAISINS</v>
      </c>
      <c r="C31" s="26">
        <f>IFERROR(VLOOKUP(A31,'BRI Insert'!A:D,4,FALSE),MISC!A9)</f>
        <v>0.25</v>
      </c>
      <c r="E31" s="15">
        <v>3075</v>
      </c>
      <c r="F31" s="25" t="e">
        <f>IFERROR(VLOOKUP(E31,'BRI Insert'!A:C,3,FALSE),(VLOOKUP(E31,'Product Names BRI'!A:B,2,FALSE)))</f>
        <v>#N/A</v>
      </c>
      <c r="G31" s="25">
        <f>IFERROR(VLOOKUP(E31,'BRI Insert'!A:D,4,FALSE),MISC!A37)</f>
        <v>0</v>
      </c>
    </row>
    <row r="32" spans="1:7" x14ac:dyDescent="0.25">
      <c r="A32" s="15">
        <v>675</v>
      </c>
      <c r="B32" s="25" t="str">
        <f>IFERROR(VLOOKUP(A32,'BRI Insert'!A:C,3,FALSE),(VLOOKUP(A32,'Product Names BRI'!A:B,2,FALSE)))</f>
        <v>CHOC. COV'D BORDEAUX CHERRIES</v>
      </c>
      <c r="C32" s="26">
        <f>IFERROR(VLOOKUP(A32,'BRI Insert'!A:D,4,FALSE),MISC!A28)</f>
        <v>0</v>
      </c>
      <c r="E32" s="15">
        <v>3091</v>
      </c>
      <c r="F32" s="25" t="str">
        <f>IFERROR(VLOOKUP(E32,'BRI Insert'!A:C,3,FALSE),(VLOOKUP(E32,'Product Names BRI'!A:B,2,FALSE)))</f>
        <v>DILL PEANUTS</v>
      </c>
      <c r="G32" s="25">
        <f>IFERROR(VLOOKUP(E32,'BRI Insert'!A:D,4,FALSE),MISC!A38)</f>
        <v>0</v>
      </c>
    </row>
    <row r="33" spans="1:7" x14ac:dyDescent="0.25">
      <c r="A33" s="15">
        <v>681</v>
      </c>
      <c r="B33" s="25" t="str">
        <f>IFERROR(VLOOKUP(A33,'BRI Insert'!A:C,3,FALSE),(VLOOKUP(A33,'Product Names BRI'!A:B,2,FALSE)))</f>
        <v>MILK CHOCOLATE COVERED CASHEWS</v>
      </c>
      <c r="C33" s="26">
        <f>IFERROR(VLOOKUP(A33,'BRI Insert'!A:D,4,FALSE),MISC!A14)</f>
        <v>0</v>
      </c>
      <c r="E33" s="15">
        <v>3102</v>
      </c>
      <c r="F33" s="25" t="e">
        <f>IFERROR(VLOOKUP(E33,'BRI Insert'!A:C,3,FALSE),(VLOOKUP(E33,'Product Names BRI'!A:B,2,FALSE)))</f>
        <v>#N/A</v>
      </c>
      <c r="G33" s="25">
        <f>IFERROR(VLOOKUP(E33,'BRI Insert'!A:D,4,FALSE),MISC!A39)</f>
        <v>0</v>
      </c>
    </row>
    <row r="34" spans="1:7" x14ac:dyDescent="0.25">
      <c r="A34" s="15">
        <v>682</v>
      </c>
      <c r="B34" s="25" t="str">
        <f>IFERROR(VLOOKUP(A34,'BRI Insert'!A:C,3,FALSE),(VLOOKUP(A34,'Product Names BRI'!A:B,2,FALSE)))</f>
        <v>M&amp;M's PEANUT BUTTER CANDIES</v>
      </c>
      <c r="C34" s="26">
        <f>IFERROR(VLOOKUP(A34,'BRI Insert'!A:D,4,FALSE),MISC!A39)</f>
        <v>0</v>
      </c>
      <c r="E34" s="15">
        <v>7666</v>
      </c>
      <c r="F34" s="25" t="str">
        <f>IFERROR(VLOOKUP(E34,'BRI Insert'!A:C,3,FALSE),(VLOOKUP(E34,'Product Names BRI'!A:B,2,FALSE)))</f>
        <v>FRUITS N'CREME JELLY BEANS</v>
      </c>
      <c r="G34" s="25">
        <f>IFERROR(VLOOKUP(E34,'BRI Insert'!A:D,4,FALSE),MISC!A27)</f>
        <v>0</v>
      </c>
    </row>
    <row r="35" spans="1:7" x14ac:dyDescent="0.25">
      <c r="A35" s="15">
        <v>686</v>
      </c>
      <c r="B35" s="25" t="str">
        <f>IFERROR(VLOOKUP(A35,'BRI Insert'!A:C,3,FALSE),(VLOOKUP(A35,'Product Names BRI'!A:B,2,FALSE)))</f>
        <v>52% DARK CHOC. COV. GINGER</v>
      </c>
      <c r="C35" s="26">
        <f>IFERROR(VLOOKUP(A35,'BRI Insert'!A:D,4,FALSE),MISC!A32)</f>
        <v>0</v>
      </c>
      <c r="E35" s="15">
        <v>7668</v>
      </c>
      <c r="F35" s="25" t="str">
        <f>IFERROR(VLOOKUP(E35,'BRI Insert'!A:C,3,FALSE),(VLOOKUP(E35,'Product Names BRI'!A:B,2,FALSE)))</f>
        <v>STRAWBERRY&amp;CREAM JELLY BEANS</v>
      </c>
      <c r="G35" s="25">
        <f>IFERROR(VLOOKUP(E35,'BRI Insert'!A:D,4,FALSE),MISC!A28)</f>
        <v>0</v>
      </c>
    </row>
    <row r="36" spans="1:7" x14ac:dyDescent="0.25">
      <c r="A36" s="15">
        <v>696</v>
      </c>
      <c r="B36" s="25" t="str">
        <f>IFERROR(VLOOKUP(A36,'BRI Insert'!A:C,3,FALSE),(VLOOKUP(A36,'Product Names BRI'!A:B,2,FALSE)))</f>
        <v>73% DARK CHOC COV CRANBERRIES</v>
      </c>
      <c r="C36" s="26">
        <f>IFERROR(VLOOKUP(A36,'BRI Insert'!A:D,4,FALSE),MISC!A36)</f>
        <v>0</v>
      </c>
      <c r="E36" s="15">
        <v>12584</v>
      </c>
      <c r="F36" s="25" t="e">
        <f>IFERROR(VLOOKUP(E36,'BRI Insert'!A:C,3,FALSE),(VLOOKUP(E36,'Product Names BRI'!A:B,2,FALSE)))</f>
        <v>#N/A</v>
      </c>
      <c r="G36" s="25">
        <f>IFERROR(VLOOKUP(E36,'BRI Insert'!A:D,4,FALSE),MISC!A29)</f>
        <v>0</v>
      </c>
    </row>
    <row r="37" spans="1:7" x14ac:dyDescent="0.25">
      <c r="A37" s="15">
        <v>717</v>
      </c>
      <c r="B37" s="25" t="str">
        <f>IFERROR(VLOOKUP(A37,'BRI Insert'!A:C,3,FALSE),(VLOOKUP(A37,'Product Names BRI'!A:B,2,FALSE)))</f>
        <v>CHOCOLATE SPORTS BALLS</v>
      </c>
      <c r="C37" s="26">
        <f>IFERROR(VLOOKUP(A37,'BRI Insert'!A:D,4,FALSE),MISC!A35)</f>
        <v>0</v>
      </c>
      <c r="E37" s="15">
        <v>14498</v>
      </c>
      <c r="F37" s="25" t="e">
        <f>IFERROR(VLOOKUP(E37,'BRI Insert'!A:C,3,FALSE),(VLOOKUP(E37,'Product Names BRI'!A:B,2,FALSE)))</f>
        <v>#N/A</v>
      </c>
      <c r="G37" s="25">
        <f>IFERROR(VLOOKUP(E37,'BRI Insert'!A:D,4,FALSE),MISC!A30)</f>
        <v>0</v>
      </c>
    </row>
    <row r="38" spans="1:7" x14ac:dyDescent="0.25">
      <c r="A38" s="15">
        <v>767</v>
      </c>
      <c r="B38" s="25" t="str">
        <f>IFERROR(VLOOKUP(A38,'BRI Insert'!A:C,3,FALSE),(VLOOKUP(A38,'Product Names BRI'!A:B,2,FALSE)))</f>
        <v>HERSHEY DROPS COOKIES N'CREAM</v>
      </c>
      <c r="C38" s="26">
        <f>IFERROR(VLOOKUP(A38,'BRI Insert'!A:D,4,FALSE),MISC!A11)</f>
        <v>0</v>
      </c>
      <c r="E38" s="15">
        <v>14765</v>
      </c>
      <c r="F38" s="25" t="e">
        <f>IFERROR(VLOOKUP(E38,'BRI Insert'!A:C,3,FALSE),(VLOOKUP(E38,'Product Names BRI'!A:B,2,FALSE)))</f>
        <v>#N/A</v>
      </c>
      <c r="G38" s="25">
        <f>IFERROR(VLOOKUP(E38,'BRI Insert'!A:D,4,FALSE),MISC!A31)</f>
        <v>0</v>
      </c>
    </row>
    <row r="39" spans="1:7" x14ac:dyDescent="0.25">
      <c r="A39" s="15">
        <v>1305</v>
      </c>
      <c r="B39" s="25" t="str">
        <f>IFERROR(VLOOKUP(A39,'BRI Insert'!A:C,3,FALSE),(VLOOKUP(A39,'Product Names BRI'!A:B,2,FALSE)))</f>
        <v>MACAROON RUFFLES</v>
      </c>
      <c r="C39" s="26">
        <f>IFERROR(VLOOKUP(A39,'BRI Insert'!A:D,4,FALSE),MISC!A17)</f>
        <v>0</v>
      </c>
      <c r="E39" s="15"/>
      <c r="F39" s="25">
        <f>IFERROR(VLOOKUP(E39,'BRI Insert'!A:C,3,FALSE),(VLOOKUP(E39,'Product Names BRI'!A:B,2,FALSE)))</f>
        <v>0</v>
      </c>
      <c r="G39" s="25">
        <f>IFERROR(VLOOKUP(E39,'BRI Insert'!A:D,4,FALSE),MISC!A32)</f>
        <v>0</v>
      </c>
    </row>
    <row r="40" spans="1:7" x14ac:dyDescent="0.25">
      <c r="A40" s="15">
        <v>2459</v>
      </c>
      <c r="B40" s="25" t="str">
        <f>IFERROR(VLOOKUP(A40,'BRI Insert'!A:C,3,FALSE),(VLOOKUP(A40,'Product Names BRI'!A:B,2,FALSE)))</f>
        <v>KEY LIME FRUIT SLICES</v>
      </c>
      <c r="C40" s="26">
        <f>IFERROR(VLOOKUP(A40,'BRI Insert'!A:D,4,FALSE),MISC!A12)</f>
        <v>0</v>
      </c>
      <c r="E40" s="15"/>
      <c r="F40" s="25">
        <f>IFERROR(VLOOKUP(E40,'BRI Insert'!A:C,3,FALSE),(VLOOKUP(E40,'Product Names BRI'!A:B,2,FALSE)))</f>
        <v>0</v>
      </c>
      <c r="G40" s="25">
        <f>IFERROR(VLOOKUP(E40,'BRI Insert'!A:D,4,FALSE),MISC!A33)</f>
        <v>0</v>
      </c>
    </row>
    <row r="41" spans="1:7" x14ac:dyDescent="0.25">
      <c r="A41" s="15">
        <v>2470</v>
      </c>
      <c r="B41" s="25" t="str">
        <f>IFERROR(VLOOKUP(A41,'BRI Insert'!A:C,3,FALSE),(VLOOKUP(A41,'Product Names BRI'!A:B,2,FALSE)))</f>
        <v>GREEK YOGURT RAISINS</v>
      </c>
      <c r="C41" s="26">
        <f>IFERROR(VLOOKUP(A41,'BRI Insert'!A:D,4,FALSE),MISC!A23)</f>
        <v>0</v>
      </c>
      <c r="E41" s="15"/>
      <c r="F41" s="25">
        <f>IFERROR(VLOOKUP(E41,'BRI Insert'!A:C,3,FALSE),(VLOOKUP(E41,'Product Names BRI'!A:B,2,FALSE)))</f>
        <v>0</v>
      </c>
      <c r="G41" s="25">
        <f>IFERROR(VLOOKUP(E41,'BRI Insert'!A:D,4,FALSE),MISC!A34)</f>
        <v>0</v>
      </c>
    </row>
    <row r="42" spans="1:7" x14ac:dyDescent="0.25">
      <c r="A42" s="15">
        <v>2492</v>
      </c>
      <c r="B42" s="25" t="str">
        <f>IFERROR(VLOOKUP(A42,'BRI Insert'!A:C,3,FALSE),(VLOOKUP(A42,'Product Names BRI'!A:B,2,FALSE)))</f>
        <v>OMG'S MILK CHOCOLATE</v>
      </c>
      <c r="C42" s="26">
        <f>IFERROR(VLOOKUP(A42,'BRI Insert'!A:D,4,FALSE),MISC!A24)</f>
        <v>0.25</v>
      </c>
      <c r="E42" s="15"/>
      <c r="F42" s="25">
        <f>IFERROR(VLOOKUP(E42,'BRI Insert'!A:C,3,FALSE),(VLOOKUP(E42,'Product Names BRI'!A:B,2,FALSE)))</f>
        <v>0</v>
      </c>
      <c r="G42" s="25">
        <f>IFERROR(VLOOKUP(E42,'BRI Insert'!A:D,4,FALSE),MISC!A35)</f>
        <v>0</v>
      </c>
    </row>
    <row r="43" spans="1:7" x14ac:dyDescent="0.25">
      <c r="A43" s="15">
        <v>2539</v>
      </c>
      <c r="B43" s="25" t="str">
        <f>IFERROR(VLOOKUP(A43,'BRI Insert'!A:C,3,FALSE),(VLOOKUP(A43,'Product Names BRI'!A:B,2,FALSE)))</f>
        <v>MILK CHOC. SEA SALT CARAMELS</v>
      </c>
      <c r="C43" s="26">
        <f>IFERROR(VLOOKUP(A43,'BRI Insert'!A:D,4,FALSE),MISC!A26)</f>
        <v>0</v>
      </c>
      <c r="E43" s="15"/>
      <c r="F43" s="25">
        <f>IFERROR(VLOOKUP(E43,'BRI Insert'!A:C,3,FALSE),(VLOOKUP(E43,'Product Names BRI'!A:B,2,FALSE)))</f>
        <v>0</v>
      </c>
      <c r="G43" s="25">
        <f>IFERROR(VLOOKUP(E43,'BRI Insert'!A:D,4,FALSE),MISC!A36)</f>
        <v>0</v>
      </c>
    </row>
  </sheetData>
  <sortState ref="E5:E43">
    <sortCondition ref="E5"/>
  </sortState>
  <pageMargins left="0.4" right="0.25" top="0.75" bottom="0.75" header="0.3" footer="0.3"/>
  <pageSetup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43"/>
  <sheetViews>
    <sheetView workbookViewId="0">
      <selection activeCell="E44" sqref="E44"/>
    </sheetView>
  </sheetViews>
  <sheetFormatPr defaultRowHeight="15" x14ac:dyDescent="0.25"/>
  <cols>
    <col min="1" max="1" width="7.5703125" customWidth="1"/>
    <col min="2" max="2" width="31.28515625" customWidth="1"/>
    <col min="3" max="3" width="7" customWidth="1"/>
    <col min="4" max="4" width="5.42578125" customWidth="1"/>
    <col min="6" max="6" width="31.42578125" customWidth="1"/>
    <col min="7" max="7" width="7.85546875" customWidth="1"/>
  </cols>
  <sheetData>
    <row r="1" spans="1:7" ht="44.25" x14ac:dyDescent="0.25">
      <c r="A1" s="30" t="s">
        <v>1096</v>
      </c>
      <c r="F1" s="3"/>
      <c r="G1" s="3"/>
    </row>
    <row r="2" spans="1:7" ht="24.75" x14ac:dyDescent="0.25">
      <c r="B2" s="2"/>
      <c r="C2" s="2"/>
      <c r="D2" s="2"/>
      <c r="E2" s="4"/>
      <c r="F2" s="3"/>
      <c r="G2" s="3"/>
    </row>
    <row r="3" spans="1:7" ht="20.25" thickBot="1" x14ac:dyDescent="0.3">
      <c r="A3" s="22" t="s">
        <v>861</v>
      </c>
      <c r="B3" s="23" t="s">
        <v>919</v>
      </c>
      <c r="C3" s="24" t="s">
        <v>0</v>
      </c>
      <c r="E3" s="22" t="s">
        <v>861</v>
      </c>
      <c r="F3" s="23" t="s">
        <v>919</v>
      </c>
      <c r="G3" s="24" t="s">
        <v>0</v>
      </c>
    </row>
    <row r="4" spans="1:7" x14ac:dyDescent="0.25">
      <c r="A4" s="3"/>
      <c r="B4" s="3"/>
      <c r="C4" s="3"/>
    </row>
    <row r="5" spans="1:7" x14ac:dyDescent="0.25">
      <c r="A5" s="15">
        <v>511</v>
      </c>
      <c r="B5" s="25" t="str">
        <f>IFERROR(VLOOKUP(A5,'BRI Insert'!A:C,3,FALSE),(VLOOKUP(A5,'Product Names BRI'!A:B,2,FALSE)))</f>
        <v>JUICY BLUE SHARK GUMMIES</v>
      </c>
      <c r="C5" s="26">
        <f>IFERROR(VLOOKUP(A5,'BRI Insert'!A:D,4,FALSE),MISC!A20)</f>
        <v>0</v>
      </c>
      <c r="E5" s="15">
        <v>780</v>
      </c>
      <c r="F5" s="25" t="str">
        <f>IFERROR(VLOOKUP(E5,'BRI Insert'!A:C,3,FALSE),(VLOOKUP(E5,'Product Names BRI'!A:B,2,FALSE)))</f>
        <v>JUICY APPLE RINGS</v>
      </c>
      <c r="G5" s="25">
        <f>IFERROR(VLOOKUP(E5,'BRI Insert'!A:D,4,FALSE),MISC!A1)</f>
        <v>0</v>
      </c>
    </row>
    <row r="6" spans="1:7" x14ac:dyDescent="0.25">
      <c r="A6" s="15">
        <v>513</v>
      </c>
      <c r="B6" s="25" t="str">
        <f>IFERROR(VLOOKUP(A6,'BRI Insert'!A:C,3,FALSE),(VLOOKUP(A6,'Product Names BRI'!A:B,2,FALSE)))</f>
        <v>JUICY PEACH HEARTS</v>
      </c>
      <c r="C6" s="26">
        <f>IFERROR(VLOOKUP(A6,'BRI Insert'!A:D,4,FALSE),MISC!A25)</f>
        <v>0</v>
      </c>
      <c r="E6" s="15">
        <v>788</v>
      </c>
      <c r="F6" s="25" t="str">
        <f>IFERROR(VLOOKUP(E6,'BRI Insert'!A:C,3,FALSE),(VLOOKUP(E6,'Product Names BRI'!A:B,2,FALSE)))</f>
        <v>DINO SOURS</v>
      </c>
      <c r="G6" s="25">
        <f>IFERROR(VLOOKUP(E6,'BRI Insert'!A:D,4,FALSE),MISC!A13)</f>
        <v>0</v>
      </c>
    </row>
    <row r="7" spans="1:7" x14ac:dyDescent="0.25">
      <c r="A7" s="15">
        <v>524</v>
      </c>
      <c r="B7" s="25" t="str">
        <f>IFERROR(VLOOKUP(A7,'BRI Insert'!A:C,3,FALSE),(VLOOKUP(A7,'Product Names BRI'!A:B,2,FALSE)))</f>
        <v>FINNISH BERRIES</v>
      </c>
      <c r="C7" s="26">
        <f>IFERROR(VLOOKUP(A7,'BRI Insert'!A:D,4,FALSE),MISC!A21)</f>
        <v>1.25</v>
      </c>
      <c r="E7" s="15">
        <v>797</v>
      </c>
      <c r="F7" s="25" t="str">
        <f>IFERROR(VLOOKUP(E7,'BRI Insert'!A:C,3,FALSE),(VLOOKUP(E7,'Product Names BRI'!A:B,2,FALSE)))</f>
        <v>JUICY SOUR COLA BOTTLE GUMMIES</v>
      </c>
      <c r="G7" s="25">
        <f>IFERROR(VLOOKUP(E7,'BRI Insert'!A:D,4,FALSE),MISC!A14)</f>
        <v>0.25</v>
      </c>
    </row>
    <row r="8" spans="1:7" x14ac:dyDescent="0.25">
      <c r="A8" s="15">
        <v>535</v>
      </c>
      <c r="B8" s="25" t="str">
        <f>IFERROR(VLOOKUP(A8,'BRI Insert'!A:C,3,FALSE),(VLOOKUP(A8,'Product Names BRI'!A:B,2,FALSE)))</f>
        <v>HERSHEY HUGS</v>
      </c>
      <c r="C8" s="26">
        <f>IFERROR(VLOOKUP(A8,'BRI Insert'!A:D,4,FALSE),MISC!A13)</f>
        <v>0</v>
      </c>
      <c r="E8" s="15">
        <v>799</v>
      </c>
      <c r="F8" s="25" t="str">
        <f>IFERROR(VLOOKUP(E8,'BRI Insert'!A:C,3,FALSE),(VLOOKUP(E8,'Product Names BRI'!A:B,2,FALSE)))</f>
        <v>WILD STRAWBERRY</v>
      </c>
      <c r="G8" s="25">
        <f>IFERROR(VLOOKUP(E8,'BRI Insert'!A:D,4,FALSE),MISC!A12)</f>
        <v>0</v>
      </c>
    </row>
    <row r="9" spans="1:7" x14ac:dyDescent="0.25">
      <c r="A9" s="15">
        <v>538</v>
      </c>
      <c r="B9" s="25" t="str">
        <f>IFERROR(VLOOKUP(A9,'BRI Insert'!A:C,3,FALSE),(VLOOKUP(A9,'Product Names BRI'!A:B,2,FALSE)))</f>
        <v>CHOCOLATE PEBBLES</v>
      </c>
      <c r="C9" s="26">
        <f>IFERROR(VLOOKUP(A9,'BRI Insert'!A:D,4,FALSE),MISC!A27)</f>
        <v>0</v>
      </c>
      <c r="E9" s="15">
        <v>1988</v>
      </c>
      <c r="F9" s="25" t="str">
        <f>IFERROR(VLOOKUP(E9,'BRI Insert'!A:C,3,FALSE),(VLOOKUP(E9,'Product Names BRI'!A:B,2,FALSE)))</f>
        <v>MAPLE SYRUP CANDIES</v>
      </c>
      <c r="G9" s="25">
        <f>IFERROR(VLOOKUP(E9,'BRI Insert'!A:D,4,FALSE),MISC!A8)</f>
        <v>0</v>
      </c>
    </row>
    <row r="10" spans="1:7" x14ac:dyDescent="0.25">
      <c r="A10" s="15">
        <v>548</v>
      </c>
      <c r="B10" s="25" t="str">
        <f>IFERROR(VLOOKUP(A10,'BRI Insert'!A:C,3,FALSE),(VLOOKUP(A10,'Product Names BRI'!A:B,2,FALSE)))</f>
        <v>JUICY FROG GUMMIES</v>
      </c>
      <c r="C10" s="26">
        <f>IFERROR(VLOOKUP(A10,'BRI Insert'!A:D,4,FALSE),MISC!A4)</f>
        <v>0</v>
      </c>
      <c r="E10" s="15">
        <v>2609</v>
      </c>
      <c r="F10" s="25" t="str">
        <f>IFERROR(VLOOKUP(E10,'BRI Insert'!A:C,3,FALSE),(VLOOKUP(E10,'Product Names BRI'!A:B,2,FALSE)))</f>
        <v>CHOC CVRD SPONGE TOFFEE PIECES</v>
      </c>
      <c r="G10" s="25">
        <f>IFERROR(VLOOKUP(E10,'BRI Insert'!A:D,4,FALSE),MISC!A10)</f>
        <v>0</v>
      </c>
    </row>
    <row r="11" spans="1:7" x14ac:dyDescent="0.25">
      <c r="A11" s="15">
        <v>550</v>
      </c>
      <c r="B11" s="25" t="str">
        <f>IFERROR(VLOOKUP(A11,'BRI Insert'!A:C,3,FALSE),(VLOOKUP(A11,'Product Names BRI'!A:B,2,FALSE)))</f>
        <v>RATTLESNAKE GUMMIES</v>
      </c>
      <c r="C11" s="26">
        <f>IFERROR(VLOOKUP(A11,'BRI Insert'!A:D,4,FALSE),MISC!A8)</f>
        <v>0</v>
      </c>
      <c r="E11" s="15">
        <v>2884</v>
      </c>
      <c r="F11" s="25" t="str">
        <f>IFERROR(VLOOKUP(E11,'BRI Insert'!A:C,3,FALSE),(VLOOKUP(E11,'Product Names BRI'!A:B,2,FALSE)))</f>
        <v>MINT CHOC SANDWICH COOKIES</v>
      </c>
      <c r="G11" s="25">
        <f>IFERROR(VLOOKUP(E11,'BRI Insert'!A:D,4,FALSE),MISC!A4)</f>
        <v>0</v>
      </c>
    </row>
    <row r="12" spans="1:7" x14ac:dyDescent="0.25">
      <c r="A12" s="15">
        <v>553</v>
      </c>
      <c r="B12" s="25" t="str">
        <f>IFERROR(VLOOKUP(A12,'BRI Insert'!A:C,3,FALSE),(VLOOKUP(A12,'Product Names BRI'!A:B,2,FALSE)))</f>
        <v>SOUR POPPERS</v>
      </c>
      <c r="C12" s="26">
        <f>IFERROR(VLOOKUP(A12,'BRI Insert'!A:D,4,FALSE),MISC!A19)</f>
        <v>0</v>
      </c>
      <c r="E12" s="15">
        <v>2892</v>
      </c>
      <c r="F12" s="25" t="str">
        <f>IFERROR(VLOOKUP(E12,'BRI Insert'!A:C,3,FALSE),(VLOOKUP(E12,'Product Names BRI'!A:B,2,FALSE)))</f>
        <v>GOURMET CH COV BAN GUMMI BEAR</v>
      </c>
      <c r="G12" s="25">
        <f>IFERROR(VLOOKUP(E12,'BRI Insert'!A:D,4,FALSE),MISC!A7)</f>
        <v>1</v>
      </c>
    </row>
    <row r="13" spans="1:7" x14ac:dyDescent="0.25">
      <c r="A13" s="15">
        <v>556</v>
      </c>
      <c r="B13" s="25" t="str">
        <f>IFERROR(VLOOKUP(A13,'BRI Insert'!A:C,3,FALSE),(VLOOKUP(A13,'Product Names BRI'!A:B,2,FALSE)))</f>
        <v>JUICY GIANT STRAWBERRY GUMMIES</v>
      </c>
      <c r="C13" s="26">
        <f>IFERROR(VLOOKUP(A13,'BRI Insert'!A:D,4,FALSE),MISC!A31)</f>
        <v>0</v>
      </c>
      <c r="E13" s="15">
        <v>2931</v>
      </c>
      <c r="F13" s="25" t="str">
        <f>IFERROR(VLOOKUP(E13,'BRI Insert'!A:C,3,FALSE),(VLOOKUP(E13,'Product Names BRI'!A:B,2,FALSE)))</f>
        <v>DIVINE CRUNCH</v>
      </c>
      <c r="G13" s="25">
        <f>IFERROR(VLOOKUP(E13,'BRI Insert'!A:D,4,FALSE),MISC!A20)</f>
        <v>0</v>
      </c>
    </row>
    <row r="14" spans="1:7" x14ac:dyDescent="0.25">
      <c r="A14" s="15">
        <v>557</v>
      </c>
      <c r="B14" s="25" t="str">
        <f>IFERROR(VLOOKUP(A14,'BRI Insert'!A:C,3,FALSE),(VLOOKUP(A14,'Product Names BRI'!A:B,2,FALSE)))</f>
        <v>JUICY TEETH GUMMIES</v>
      </c>
      <c r="C14" s="26">
        <f>IFERROR(VLOOKUP(A14,'BRI Insert'!A:D,4,FALSE),MISC!A15)</f>
        <v>0</v>
      </c>
      <c r="E14" s="15">
        <v>2968</v>
      </c>
      <c r="F14" s="25" t="str">
        <f>IFERROR(VLOOKUP(E14,'BRI Insert'!A:C,3,FALSE),(VLOOKUP(E14,'Product Names BRI'!A:B,2,FALSE)))</f>
        <v>T.B. ISLAND COCONUT</v>
      </c>
      <c r="G14" s="25">
        <f>IFERROR(VLOOKUP(E14,'BRI Insert'!A:D,4,FALSE),MISC!A21)</f>
        <v>0</v>
      </c>
    </row>
    <row r="15" spans="1:7" x14ac:dyDescent="0.25">
      <c r="A15" s="15">
        <v>560</v>
      </c>
      <c r="B15" s="25" t="str">
        <f>IFERROR(VLOOKUP(A15,'BRI Insert'!A:C,3,FALSE),(VLOOKUP(A15,'Product Names BRI'!A:B,2,FALSE)))</f>
        <v>SOUR JU JUBES (ALLAN)</v>
      </c>
      <c r="C15" s="26">
        <f>IFERROR(VLOOKUP(A15,'BRI Insert'!A:D,4,FALSE),MISC!A18)</f>
        <v>0.25</v>
      </c>
      <c r="E15" s="15">
        <v>3041</v>
      </c>
      <c r="F15" s="25" t="str">
        <f>IFERROR(VLOOKUP(E15,'BRI Insert'!A:C,3,FALSE),(VLOOKUP(E15,'Product Names BRI'!A:B,2,FALSE)))</f>
        <v>ORGANIC GUMMI WORMS</v>
      </c>
      <c r="G15" s="25">
        <f>IFERROR(VLOOKUP(E15,'BRI Insert'!A:D,4,FALSE),MISC!A9)</f>
        <v>0.25</v>
      </c>
    </row>
    <row r="16" spans="1:7" x14ac:dyDescent="0.25">
      <c r="A16" s="15">
        <v>572</v>
      </c>
      <c r="B16" s="25" t="str">
        <f>IFERROR(VLOOKUP(A16,'BRI Insert'!A:C,3,FALSE),(VLOOKUP(A16,'Product Names BRI'!A:B,2,FALSE)))</f>
        <v>MILK&amp;DARK CHOC.RASPBERRY CREME</v>
      </c>
      <c r="C16" s="26">
        <f>IFERROR(VLOOKUP(A16,'BRI Insert'!A:D,4,FALSE),MISC!A6)</f>
        <v>0.25</v>
      </c>
      <c r="E16" s="15">
        <v>3068</v>
      </c>
      <c r="F16" s="25" t="str">
        <f>IFERROR(VLOOKUP(E16,'BRI Insert'!A:C,3,FALSE),(VLOOKUP(E16,'Product Names BRI'!A:B,2,FALSE)))</f>
        <v>GOURMET GUMMI WORMS</v>
      </c>
      <c r="G16" s="25">
        <f>IFERROR(VLOOKUP(E16,'BRI Insert'!A:D,4,FALSE),MISC!A17)</f>
        <v>0</v>
      </c>
    </row>
    <row r="17" spans="1:7" x14ac:dyDescent="0.25">
      <c r="A17" s="15">
        <v>587</v>
      </c>
      <c r="B17" s="25" t="str">
        <f>IFERROR(VLOOKUP(A17,'BRI Insert'!A:C,3,FALSE),(VLOOKUP(A17,'Product Names BRI'!A:B,2,FALSE)))</f>
        <v>YORK PEPPERMINT PATTIES</v>
      </c>
      <c r="C17" s="26">
        <f>IFERROR(VLOOKUP(A17,'BRI Insert'!A:D,4,FALSE),MISC!A33)</f>
        <v>0.75</v>
      </c>
      <c r="E17" s="15">
        <v>3076</v>
      </c>
      <c r="F17" s="25" t="str">
        <f>IFERROR(VLOOKUP(E17,'BRI Insert'!A:C,3,FALSE),(VLOOKUP(E17,'Product Names BRI'!A:B,2,FALSE)))</f>
        <v>GIANT COLA BOTTLE GUMMIES</v>
      </c>
      <c r="G17" s="25">
        <f>IFERROR(VLOOKUP(E17,'BRI Insert'!A:D,4,FALSE),MISC!A18)</f>
        <v>0</v>
      </c>
    </row>
    <row r="18" spans="1:7" x14ac:dyDescent="0.25">
      <c r="A18" s="15">
        <v>592</v>
      </c>
      <c r="B18" s="25" t="str">
        <f>IFERROR(VLOOKUP(A18,'BRI Insert'!A:C,3,FALSE),(VLOOKUP(A18,'Product Names BRI'!A:B,2,FALSE)))</f>
        <v>SOUR GUMMI WORMS</v>
      </c>
      <c r="C18" s="26">
        <f>IFERROR(VLOOKUP(A18,'BRI Insert'!A:D,4,FALSE),MISC!A2)</f>
        <v>1.5</v>
      </c>
      <c r="E18" s="15">
        <v>3077</v>
      </c>
      <c r="F18" s="25" t="str">
        <f>IFERROR(VLOOKUP(E18,'BRI Insert'!A:C,3,FALSE),(VLOOKUP(E18,'Product Names BRI'!A:B,2,FALSE)))</f>
        <v>GIANT SOUR COLA BOTTLE GUMMIES</v>
      </c>
      <c r="G18" s="25">
        <f>IFERROR(VLOOKUP(E18,'BRI Insert'!A:D,4,FALSE),MISC!A19)</f>
        <v>0</v>
      </c>
    </row>
    <row r="19" spans="1:7" x14ac:dyDescent="0.25">
      <c r="A19" s="15">
        <v>599</v>
      </c>
      <c r="B19" s="25" t="str">
        <f>IFERROR(VLOOKUP(A19,'BRI Insert'!A:C,3,FALSE),(VLOOKUP(A19,'Product Names BRI'!A:B,2,FALSE)))</f>
        <v>SOUR CHERRY SLICES</v>
      </c>
      <c r="C19" s="26">
        <f>IFERROR(VLOOKUP(A19,'BRI Insert'!A:D,4,FALSE),MISC!A5)</f>
        <v>0</v>
      </c>
      <c r="E19" s="15">
        <v>3078</v>
      </c>
      <c r="F19" s="25" t="str">
        <f>IFERROR(VLOOKUP(E19,'BRI Insert'!A:C,3,FALSE),(VLOOKUP(E19,'Product Names BRI'!A:B,2,FALSE)))</f>
        <v>GIANT DOLPHIN GUMMIES</v>
      </c>
      <c r="G19" s="25">
        <f>IFERROR(VLOOKUP(E19,'BRI Insert'!A:D,4,FALSE),MISC!A26)</f>
        <v>0</v>
      </c>
    </row>
    <row r="20" spans="1:7" x14ac:dyDescent="0.25">
      <c r="A20" s="15">
        <v>601</v>
      </c>
      <c r="B20" s="25" t="str">
        <f>IFERROR(VLOOKUP(A20,'BRI Insert'!A:C,3,FALSE),(VLOOKUP(A20,'Product Names BRI'!A:B,2,FALSE)))</f>
        <v>HERSHEY'S WHOPPERS</v>
      </c>
      <c r="C20" s="26">
        <f>IFERROR(VLOOKUP(A20,'BRI Insert'!A:D,4,FALSE),MISC!A22)</f>
        <v>0</v>
      </c>
      <c r="E20" s="15">
        <v>3079</v>
      </c>
      <c r="F20" s="25" t="str">
        <f>IFERROR(VLOOKUP(E20,'BRI Insert'!A:C,3,FALSE),(VLOOKUP(E20,'Product Names BRI'!A:B,2,FALSE)))</f>
        <v>GIANT CROCODILE GUMMIES</v>
      </c>
      <c r="G20" s="25">
        <f>IFERROR(VLOOKUP(E20,'BRI Insert'!A:D,4,FALSE),MISC!A16)</f>
        <v>0</v>
      </c>
    </row>
    <row r="21" spans="1:7" x14ac:dyDescent="0.25">
      <c r="A21" s="15">
        <v>616</v>
      </c>
      <c r="B21" s="25" t="str">
        <f>IFERROR(VLOOKUP(A21,'BRI Insert'!A:C,3,FALSE),(VLOOKUP(A21,'Product Names BRI'!A:B,2,FALSE)))</f>
        <v>JU JUBES (ALLAN)</v>
      </c>
      <c r="C21" s="26">
        <f>IFERROR(VLOOKUP(A21,'BRI Insert'!A:D,4,FALSE),MISC!A1)</f>
        <v>0</v>
      </c>
      <c r="E21" s="15">
        <v>3088</v>
      </c>
      <c r="F21" s="25" t="e">
        <f>IFERROR(VLOOKUP(E21,'BRI Insert'!A:C,3,FALSE),(VLOOKUP(E21,'Product Names BRI'!A:B,2,FALSE)))</f>
        <v>#N/A</v>
      </c>
      <c r="G21" s="25">
        <f>IFERROR(VLOOKUP(E21,'BRI Insert'!A:D,4,FALSE),MISC!A22)</f>
        <v>0</v>
      </c>
    </row>
    <row r="22" spans="1:7" x14ac:dyDescent="0.25">
      <c r="A22" s="15">
        <v>617</v>
      </c>
      <c r="B22" s="25" t="str">
        <f>IFERROR(VLOOKUP(A22,'BRI Insert'!A:C,3,FALSE),(VLOOKUP(A22,'Product Names BRI'!A:B,2,FALSE)))</f>
        <v>ENGLISH MINTS</v>
      </c>
      <c r="C22" s="26">
        <f>IFERROR(VLOOKUP(A22,'BRI Insert'!A:D,4,FALSE),MISC!A7)</f>
        <v>0</v>
      </c>
      <c r="E22" s="15">
        <v>3105</v>
      </c>
      <c r="F22" s="25" t="e">
        <f>IFERROR(VLOOKUP(E22,'BRI Insert'!A:C,3,FALSE),(VLOOKUP(E22,'Product Names BRI'!A:B,2,FALSE)))</f>
        <v>#N/A</v>
      </c>
      <c r="G22" s="25">
        <f>IFERROR(VLOOKUP(E22,'BRI Insert'!A:D,4,FALSE),MISC!A23)</f>
        <v>0</v>
      </c>
    </row>
    <row r="23" spans="1:7" x14ac:dyDescent="0.25">
      <c r="A23" s="15">
        <v>618</v>
      </c>
      <c r="B23" s="25" t="str">
        <f>IFERROR(VLOOKUP(A23,'BRI Insert'!A:C,3,FALSE),(VLOOKUP(A23,'Product Names BRI'!A:B,2,FALSE)))</f>
        <v>JELLY BEAN</v>
      </c>
      <c r="C23" s="26">
        <f>IFERROR(VLOOKUP(A23,'BRI Insert'!A:D,4,FALSE),MISC!A37)</f>
        <v>0</v>
      </c>
      <c r="E23" s="15">
        <v>7650</v>
      </c>
      <c r="F23" s="25" t="str">
        <f>IFERROR(VLOOKUP(E23,'BRI Insert'!A:C,3,FALSE),(VLOOKUP(E23,'Product Names BRI'!A:B,2,FALSE)))</f>
        <v>GOURMET JELLY BEANS</v>
      </c>
      <c r="G23" s="25">
        <f>IFERROR(VLOOKUP(E23,'BRI Insert'!A:D,4,FALSE),MISC!A24)</f>
        <v>2</v>
      </c>
    </row>
    <row r="24" spans="1:7" x14ac:dyDescent="0.25">
      <c r="A24" s="15">
        <v>621</v>
      </c>
      <c r="B24" s="25" t="str">
        <f>IFERROR(VLOOKUP(A24,'BRI Insert'!A:C,3,FALSE),(VLOOKUP(A24,'Product Names BRI'!A:B,2,FALSE)))</f>
        <v>CHOCOLATE BRIDGE MIX</v>
      </c>
      <c r="C24" s="26">
        <f>IFERROR(VLOOKUP(A24,'BRI Insert'!A:D,4,FALSE),MISC!A38)</f>
        <v>0.25</v>
      </c>
      <c r="E24" s="15">
        <v>7651</v>
      </c>
      <c r="F24" s="25" t="str">
        <f>IFERROR(VLOOKUP(E24,'BRI Insert'!A:C,3,FALSE),(VLOOKUP(E24,'Product Names BRI'!A:B,2,FALSE)))</f>
        <v>T.B. LUXOR LICORICE</v>
      </c>
      <c r="G24" s="25">
        <f>IFERROR(VLOOKUP(E24,'BRI Insert'!A:D,4,FALSE),MISC!A25)</f>
        <v>1</v>
      </c>
    </row>
    <row r="25" spans="1:7" x14ac:dyDescent="0.25">
      <c r="A25" s="15">
        <v>624</v>
      </c>
      <c r="B25" s="25" t="str">
        <f>IFERROR(VLOOKUP(A25,'BRI Insert'!A:C,3,FALSE),(VLOOKUP(A25,'Product Names BRI'!A:B,2,FALSE)))</f>
        <v>CARAMEL NUT CLUSTER</v>
      </c>
      <c r="C25" s="26">
        <f>IFERROR(VLOOKUP(A25,'BRI Insert'!A:D,4,FALSE),MISC!A29)</f>
        <v>0</v>
      </c>
      <c r="E25" s="15">
        <v>7652</v>
      </c>
      <c r="F25" s="25" t="str">
        <f>IFERROR(VLOOKUP(E25,'BRI Insert'!A:C,3,FALSE),(VLOOKUP(E25,'Product Names BRI'!A:B,2,FALSE)))</f>
        <v>T.B. CHESAPEAKE CHERRY</v>
      </c>
      <c r="G25" s="25">
        <f>IFERROR(VLOOKUP(E25,'BRI Insert'!A:D,4,FALSE),MISC!A5)</f>
        <v>0.25</v>
      </c>
    </row>
    <row r="26" spans="1:7" x14ac:dyDescent="0.25">
      <c r="A26" s="15">
        <v>630</v>
      </c>
      <c r="B26" s="25" t="str">
        <f>IFERROR(VLOOKUP(A26,'BRI Insert'!A:C,3,FALSE),(VLOOKUP(A26,'Product Names BRI'!A:B,2,FALSE)))</f>
        <v>JUICY BANANA GUMMIES</v>
      </c>
      <c r="C26" s="26">
        <f>IFERROR(VLOOKUP(A26,'BRI Insert'!A:D,4,FALSE),MISC!A3)</f>
        <v>0</v>
      </c>
      <c r="E26" s="15">
        <v>7653</v>
      </c>
      <c r="F26" s="25" t="str">
        <f>IFERROR(VLOOKUP(E26,'BRI Insert'!A:C,3,FALSE),(VLOOKUP(E26,'Product Names BRI'!A:B,2,FALSE)))</f>
        <v>T.B. LA JOLA LEMON</v>
      </c>
      <c r="G26" s="25">
        <f>IFERROR(VLOOKUP(E26,'BRI Insert'!A:D,4,FALSE),MISC!A6)</f>
        <v>0</v>
      </c>
    </row>
    <row r="27" spans="1:7" x14ac:dyDescent="0.25">
      <c r="A27" s="15">
        <v>631</v>
      </c>
      <c r="B27" s="25" t="str">
        <f>IFERROR(VLOOKUP(A27,'BRI Insert'!A:C,3,FALSE),(VLOOKUP(A27,'Product Names BRI'!A:B,2,FALSE)))</f>
        <v>JUICY FRUIT COCKTAIL GUMMIES</v>
      </c>
      <c r="C27" s="26">
        <f>IFERROR(VLOOKUP(A27,'BRI Insert'!A:D,4,FALSE),MISC!A16)</f>
        <v>0.5</v>
      </c>
      <c r="E27" s="15">
        <v>7654</v>
      </c>
      <c r="F27" s="25" t="str">
        <f>IFERROR(VLOOKUP(E27,'BRI Insert'!A:C,3,FALSE),(VLOOKUP(E27,'Product Names BRI'!A:B,2,FALSE)))</f>
        <v>T.B.MARTINIQUE ORANGE PINEAPPL</v>
      </c>
      <c r="G27" s="25">
        <f>IFERROR(VLOOKUP(E27,'BRI Insert'!A:D,4,FALSE),MISC!A3)</f>
        <v>0</v>
      </c>
    </row>
    <row r="28" spans="1:7" x14ac:dyDescent="0.25">
      <c r="A28" s="15">
        <v>633</v>
      </c>
      <c r="B28" s="25" t="str">
        <f>IFERROR(VLOOKUP(A28,'BRI Insert'!A:C,3,FALSE),(VLOOKUP(A28,'Product Names BRI'!A:B,2,FALSE)))</f>
        <v>SOUR KEYS</v>
      </c>
      <c r="C28" s="26">
        <f>IFERROR(VLOOKUP(A28,'BRI Insert'!A:D,4,FALSE),MISC!A30)</f>
        <v>0.25</v>
      </c>
      <c r="E28" s="15">
        <v>7655</v>
      </c>
      <c r="F28" s="25" t="str">
        <f>IFERROR(VLOOKUP(E28,'BRI Insert'!A:C,3,FALSE),(VLOOKUP(E28,'Product Names BRI'!A:B,2,FALSE)))</f>
        <v>T.B.STRAWBERRY CHEESECAKE</v>
      </c>
      <c r="G28" s="25">
        <f>IFERROR(VLOOKUP(E28,'BRI Insert'!A:D,4,FALSE),MISC!A15)</f>
        <v>1</v>
      </c>
    </row>
    <row r="29" spans="1:7" x14ac:dyDescent="0.25">
      <c r="A29" s="15">
        <v>635</v>
      </c>
      <c r="B29" s="25" t="str">
        <f>IFERROR(VLOOKUP(A29,'BRI Insert'!A:C,3,FALSE),(VLOOKUP(A29,'Product Names BRI'!A:B,2,FALSE)))</f>
        <v>HERSHEY KISSES</v>
      </c>
      <c r="C29" s="26">
        <f>IFERROR(VLOOKUP(A29,'BRI Insert'!A:D,4,FALSE),MISC!A10)</f>
        <v>0</v>
      </c>
      <c r="E29" s="15">
        <v>7656</v>
      </c>
      <c r="F29" s="25" t="str">
        <f>IFERROR(VLOOKUP(E29,'BRI Insert'!A:C,3,FALSE),(VLOOKUP(E29,'Product Names BRI'!A:B,2,FALSE)))</f>
        <v>T.B. CARIBBEAN PUNCH</v>
      </c>
      <c r="G29" s="25">
        <f>IFERROR(VLOOKUP(E29,'BRI Insert'!A:D,4,FALSE),MISC!A2)</f>
        <v>0</v>
      </c>
    </row>
    <row r="30" spans="1:7" x14ac:dyDescent="0.25">
      <c r="A30" s="15">
        <v>645</v>
      </c>
      <c r="B30" s="25" t="str">
        <f>IFERROR(VLOOKUP(A30,'BRI Insert'!A:C,3,FALSE),(VLOOKUP(A30,'Product Names BRI'!A:B,2,FALSE)))</f>
        <v>ROCKETS</v>
      </c>
      <c r="C30" s="26">
        <f>IFERROR(VLOOKUP(A30,'BRI Insert'!A:D,4,FALSE),MISC!A34)</f>
        <v>0</v>
      </c>
      <c r="E30" s="15">
        <v>7659</v>
      </c>
      <c r="F30" s="25" t="str">
        <f>IFERROR(VLOOKUP(E30,'BRI Insert'!A:C,3,FALSE),(VLOOKUP(E30,'Product Names BRI'!A:B,2,FALSE)))</f>
        <v>T.B. WATERMELON</v>
      </c>
      <c r="G30" s="25">
        <f>IFERROR(VLOOKUP(E30,'BRI Insert'!A:D,4,FALSE),MISC!A11)</f>
        <v>0.25</v>
      </c>
    </row>
    <row r="31" spans="1:7" x14ac:dyDescent="0.25">
      <c r="A31" s="15">
        <v>664</v>
      </c>
      <c r="B31" s="25" t="str">
        <f>IFERROR(VLOOKUP(A31,'BRI Insert'!A:C,3,FALSE),(VLOOKUP(A31,'Product Names BRI'!A:B,2,FALSE)))</f>
        <v>WINE GUMS</v>
      </c>
      <c r="C31" s="26">
        <f>IFERROR(VLOOKUP(A31,'BRI Insert'!A:D,4,FALSE),MISC!A9)</f>
        <v>0</v>
      </c>
      <c r="E31" s="15">
        <v>7660</v>
      </c>
      <c r="F31" s="25" t="str">
        <f>IFERROR(VLOOKUP(E31,'BRI Insert'!A:C,3,FALSE),(VLOOKUP(E31,'Product Names BRI'!A:B,2,FALSE)))</f>
        <v>T.B. SAVANNAH STRAWBERRY</v>
      </c>
      <c r="G31" s="25">
        <f>IFERROR(VLOOKUP(E31,'BRI Insert'!A:D,4,FALSE),MISC!A37)</f>
        <v>0.25</v>
      </c>
    </row>
    <row r="32" spans="1:7" x14ac:dyDescent="0.25">
      <c r="A32" s="15">
        <v>669</v>
      </c>
      <c r="B32" s="25" t="str">
        <f>IFERROR(VLOOKUP(A32,'BRI Insert'!A:C,3,FALSE),(VLOOKUP(A32,'Product Names BRI'!A:B,2,FALSE)))</f>
        <v>SOUR BELTS</v>
      </c>
      <c r="C32" s="26">
        <f>IFERROR(VLOOKUP(A32,'BRI Insert'!A:D,4,FALSE),MISC!A28)</f>
        <v>0</v>
      </c>
      <c r="E32" s="15">
        <v>7661</v>
      </c>
      <c r="F32" s="25" t="str">
        <f>IFERROR(VLOOKUP(E32,'BRI Insert'!A:C,3,FALSE),(VLOOKUP(E32,'Product Names BRI'!A:B,2,FALSE)))</f>
        <v>T.B. GREEN APPLE</v>
      </c>
      <c r="G32" s="25">
        <f>IFERROR(VLOOKUP(E32,'BRI Insert'!A:D,4,FALSE),MISC!A38)</f>
        <v>1</v>
      </c>
    </row>
    <row r="33" spans="1:7" x14ac:dyDescent="0.25">
      <c r="A33" s="34">
        <v>677</v>
      </c>
      <c r="B33" s="25" t="str">
        <f>IFERROR(VLOOKUP(A33,'BRI Insert'!A:C,3,FALSE),(VLOOKUP(A33,'Product Names BRI'!A:B,2,FALSE)))</f>
        <v>BIG FOOT</v>
      </c>
      <c r="C33" s="26">
        <f>IFERROR(VLOOKUP(A33,'BRI Insert'!A:D,4,FALSE),MISC!A14)</f>
        <v>0.25</v>
      </c>
      <c r="E33" s="15">
        <v>7662</v>
      </c>
      <c r="F33" s="25" t="str">
        <f>IFERROR(VLOOKUP(E33,'BRI Insert'!A:C,3,FALSE),(VLOOKUP(E33,'Product Names BRI'!A:B,2,FALSE)))</f>
        <v>T.B. BLUEBERRY COBBLER</v>
      </c>
      <c r="G33" s="25">
        <f>IFERROR(VLOOKUP(E33,'BRI Insert'!A:D,4,FALSE),MISC!A39)</f>
        <v>1</v>
      </c>
    </row>
    <row r="34" spans="1:7" x14ac:dyDescent="0.25">
      <c r="A34" s="15">
        <v>678</v>
      </c>
      <c r="B34" s="25" t="str">
        <f>IFERROR(VLOOKUP(A34,'BRI Insert'!A:C,3,FALSE),(VLOOKUP(A34,'Product Names BRI'!A:B,2,FALSE)))</f>
        <v>HOT LIPS</v>
      </c>
      <c r="C34" s="26">
        <f>IFERROR(VLOOKUP(A34,'BRI Insert'!A:D,4,FALSE),MISC!A39)</f>
        <v>1</v>
      </c>
      <c r="E34" s="15">
        <v>7663</v>
      </c>
      <c r="F34" s="25" t="str">
        <f>IFERROR(VLOOKUP(E34,'BRI Insert'!A:C,3,FALSE),(VLOOKUP(E34,'Product Names BRI'!A:B,2,FALSE)))</f>
        <v>T.B. BANANA CREAM PIE</v>
      </c>
      <c r="G34" s="25">
        <f>IFERROR(VLOOKUP(E34,'BRI Insert'!A:D,4,FALSE),MISC!A27)</f>
        <v>0</v>
      </c>
    </row>
    <row r="35" spans="1:7" x14ac:dyDescent="0.25">
      <c r="A35" s="15">
        <v>689</v>
      </c>
      <c r="B35" s="25" t="str">
        <f>IFERROR(VLOOKUP(A35,'BRI Insert'!A:C,3,FALSE),(VLOOKUP(A35,'Product Names BRI'!A:B,2,FALSE)))</f>
        <v>JUICY DBL CHERRY GUMMIES</v>
      </c>
      <c r="C35" s="26">
        <f>IFERROR(VLOOKUP(A35,'BRI Insert'!A:D,4,FALSE),MISC!A32)</f>
        <v>0</v>
      </c>
      <c r="E35" s="15">
        <v>7664</v>
      </c>
      <c r="F35" s="25" t="str">
        <f>IFERROR(VLOOKUP(E35,'BRI Insert'!A:C,3,FALSE),(VLOOKUP(E35,'Product Names BRI'!A:B,2,FALSE)))</f>
        <v>T.B. ISLAND BREEZE</v>
      </c>
      <c r="G35" s="25">
        <f>IFERROR(VLOOKUP(E35,'BRI Insert'!A:D,4,FALSE),MISC!A28)</f>
        <v>0</v>
      </c>
    </row>
    <row r="36" spans="1:7" x14ac:dyDescent="0.25">
      <c r="A36" s="15">
        <v>691</v>
      </c>
      <c r="B36" s="25" t="str">
        <f>IFERROR(VLOOKUP(A36,'BRI Insert'!A:C,3,FALSE),(VLOOKUP(A36,'Product Names BRI'!A:B,2,FALSE)))</f>
        <v>JUICY SOUR NEON WORMS</v>
      </c>
      <c r="C36" s="26">
        <f>IFERROR(VLOOKUP(A36,'BRI Insert'!A:D,4,FALSE),MISC!A36)</f>
        <v>0</v>
      </c>
      <c r="E36" s="15">
        <v>12115</v>
      </c>
      <c r="F36" s="25" t="str">
        <f>IFERROR(VLOOKUP(E36,'BRI Insert'!A:C,3,FALSE),(VLOOKUP(E36,'Product Names BRI'!A:B,2,FALSE)))</f>
        <v>MARSH.SQUARE W/RICE CRISPS</v>
      </c>
      <c r="G36" s="25">
        <f>IFERROR(VLOOKUP(E36,'BRI Insert'!A:D,4,FALSE),MISC!A29)</f>
        <v>0</v>
      </c>
    </row>
    <row r="37" spans="1:7" x14ac:dyDescent="0.25">
      <c r="A37" s="15">
        <v>692</v>
      </c>
      <c r="B37" s="25" t="str">
        <f>IFERROR(VLOOKUP(A37,'BRI Insert'!A:C,3,FALSE),(VLOOKUP(A37,'Product Names BRI'!A:B,2,FALSE)))</f>
        <v>JUICY WINE GUMMIES</v>
      </c>
      <c r="C37" s="26">
        <f>IFERROR(VLOOKUP(A37,'BRI Insert'!A:D,4,FALSE),MISC!A35)</f>
        <v>1</v>
      </c>
      <c r="E37" s="15" t="s">
        <v>1069</v>
      </c>
      <c r="F37" s="25" t="str">
        <f>IFERROR(VLOOKUP(E37,'BRI Insert'!A:C,3,FALSE),(VLOOKUP(E37,'Product Names BRI'!A:B,2,FALSE)))</f>
        <v>-</v>
      </c>
      <c r="G37" s="25">
        <f>IFERROR(VLOOKUP(E37,'BRI Insert'!A:D,4,FALSE),MISC!A30)</f>
        <v>0</v>
      </c>
    </row>
    <row r="38" spans="1:7" x14ac:dyDescent="0.25">
      <c r="A38" s="15">
        <v>699</v>
      </c>
      <c r="B38" s="25" t="str">
        <f>IFERROR(VLOOKUP(A38,'BRI Insert'!A:C,3,FALSE),(VLOOKUP(A38,'Product Names BRI'!A:B,2,FALSE)))</f>
        <v>TROPICAL JELLY DOTS</v>
      </c>
      <c r="C38" s="26">
        <f>IFERROR(VLOOKUP(A38,'BRI Insert'!A:D,4,FALSE),MISC!A11)</f>
        <v>0</v>
      </c>
      <c r="E38" s="15" t="s">
        <v>1069</v>
      </c>
      <c r="F38" s="25" t="str">
        <f>IFERROR(VLOOKUP(E38,'BRI Insert'!A:C,3,FALSE),(VLOOKUP(E38,'Product Names BRI'!A:B,2,FALSE)))</f>
        <v>-</v>
      </c>
      <c r="G38" s="25">
        <f>IFERROR(VLOOKUP(E38,'BRI Insert'!A:D,4,FALSE),MISC!A31)</f>
        <v>0</v>
      </c>
    </row>
    <row r="39" spans="1:7" x14ac:dyDescent="0.25">
      <c r="A39" s="15">
        <v>702</v>
      </c>
      <c r="B39" s="25" t="str">
        <f>IFERROR(VLOOKUP(A39,'BRI Insert'!A:C,3,FALSE),(VLOOKUP(A39,'Product Names BRI'!A:B,2,FALSE)))</f>
        <v>JUICY COLA BOTTLE GUMMIES</v>
      </c>
      <c r="C39" s="26">
        <f>IFERROR(VLOOKUP(A39,'BRI Insert'!A:D,4,FALSE),MISC!A17)</f>
        <v>0</v>
      </c>
      <c r="E39" s="15" t="s">
        <v>1069</v>
      </c>
      <c r="F39" s="25" t="str">
        <f>IFERROR(VLOOKUP(E39,'BRI Insert'!A:C,3,FALSE),(VLOOKUP(E39,'Product Names BRI'!A:B,2,FALSE)))</f>
        <v>-</v>
      </c>
      <c r="G39" s="25">
        <f>IFERROR(VLOOKUP(E39,'BRI Insert'!A:D,4,FALSE),MISC!A32)</f>
        <v>0</v>
      </c>
    </row>
    <row r="40" spans="1:7" x14ac:dyDescent="0.25">
      <c r="A40" s="15">
        <v>704</v>
      </c>
      <c r="B40" s="25" t="str">
        <f>IFERROR(VLOOKUP(A40,'BRI Insert'!A:C,3,FALSE),(VLOOKUP(A40,'Product Names BRI'!A:B,2,FALSE)))</f>
        <v>SOUR GRAPE SLICES</v>
      </c>
      <c r="C40" s="26">
        <f>IFERROR(VLOOKUP(A40,'BRI Insert'!A:D,4,FALSE),MISC!A12)</f>
        <v>0.25</v>
      </c>
      <c r="E40" s="15" t="s">
        <v>1069</v>
      </c>
      <c r="F40" s="25" t="str">
        <f>IFERROR(VLOOKUP(E40,'BRI Insert'!A:C,3,FALSE),(VLOOKUP(E40,'Product Names BRI'!A:B,2,FALSE)))</f>
        <v>-</v>
      </c>
      <c r="G40" s="25">
        <f>IFERROR(VLOOKUP(E40,'BRI Insert'!A:D,4,FALSE),MISC!A33)</f>
        <v>0</v>
      </c>
    </row>
    <row r="41" spans="1:7" x14ac:dyDescent="0.25">
      <c r="A41" s="15">
        <v>707</v>
      </c>
      <c r="B41" s="25" t="str">
        <f>IFERROR(VLOOKUP(A41,'BRI Insert'!A:C,3,FALSE),(VLOOKUP(A41,'Product Names BRI'!A:B,2,FALSE)))</f>
        <v>SOUR WATERMELON SLICES</v>
      </c>
      <c r="C41" s="26">
        <f>IFERROR(VLOOKUP(A41,'BRI Insert'!A:D,4,FALSE),MISC!A23)</f>
        <v>0</v>
      </c>
      <c r="E41" s="15" t="s">
        <v>1069</v>
      </c>
      <c r="F41" s="25" t="str">
        <f>IFERROR(VLOOKUP(E41,'BRI Insert'!A:C,3,FALSE),(VLOOKUP(E41,'Product Names BRI'!A:B,2,FALSE)))</f>
        <v>-</v>
      </c>
      <c r="G41" s="25">
        <f>IFERROR(VLOOKUP(E41,'BRI Insert'!A:D,4,FALSE),MISC!A34)</f>
        <v>0</v>
      </c>
    </row>
    <row r="42" spans="1:7" x14ac:dyDescent="0.25">
      <c r="A42" s="15">
        <v>708</v>
      </c>
      <c r="B42" s="25" t="str">
        <f>IFERROR(VLOOKUP(A42,'BRI Insert'!A:C,3,FALSE),(VLOOKUP(A42,'Product Names BRI'!A:B,2,FALSE)))</f>
        <v>GUMMI SQUIRMIES</v>
      </c>
      <c r="C42" s="26">
        <f>IFERROR(VLOOKUP(A42,'BRI Insert'!A:D,4,FALSE),MISC!A24)</f>
        <v>0</v>
      </c>
      <c r="E42" s="15" t="s">
        <v>1069</v>
      </c>
      <c r="F42" s="25" t="str">
        <f>IFERROR(VLOOKUP(E42,'BRI Insert'!A:C,3,FALSE),(VLOOKUP(E42,'Product Names BRI'!A:B,2,FALSE)))</f>
        <v>-</v>
      </c>
      <c r="G42" s="25">
        <f>IFERROR(VLOOKUP(E42,'BRI Insert'!A:D,4,FALSE),MISC!A35)</f>
        <v>0</v>
      </c>
    </row>
    <row r="43" spans="1:7" x14ac:dyDescent="0.25">
      <c r="A43" s="15">
        <v>779</v>
      </c>
      <c r="B43" s="25" t="str">
        <f>IFERROR(VLOOKUP(A43,'BRI Insert'!A:C,3,FALSE),(VLOOKUP(A43,'Product Names BRI'!A:B,2,FALSE)))</f>
        <v>SOUR MINI PEACH RINGS</v>
      </c>
      <c r="C43" s="26">
        <f>IFERROR(VLOOKUP(A43,'BRI Insert'!A:D,4,FALSE),MISC!A26)</f>
        <v>0.5</v>
      </c>
      <c r="E43" s="15" t="s">
        <v>1069</v>
      </c>
      <c r="F43" s="25" t="str">
        <f>IFERROR(VLOOKUP(E43,'BRI Insert'!A:C,3,FALSE),(VLOOKUP(E43,'Product Names BRI'!A:B,2,FALSE)))</f>
        <v>-</v>
      </c>
      <c r="G43" s="25">
        <f>IFERROR(VLOOKUP(E43,'BRI Insert'!A:D,4,FALSE),MISC!A36)</f>
        <v>0</v>
      </c>
    </row>
  </sheetData>
  <sortState ref="E5:E43">
    <sortCondition ref="E5"/>
  </sortState>
  <pageMargins left="0.4" right="0.25" top="0.75" bottom="0.75" header="0.3" footer="0.3"/>
  <pageSetup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43"/>
  <sheetViews>
    <sheetView tabSelected="1" workbookViewId="0">
      <selection activeCell="E9" sqref="E9"/>
    </sheetView>
  </sheetViews>
  <sheetFormatPr defaultRowHeight="15" x14ac:dyDescent="0.25"/>
  <cols>
    <col min="1" max="1" width="7.5703125" customWidth="1"/>
    <col min="2" max="2" width="31.28515625" customWidth="1"/>
    <col min="3" max="3" width="7" customWidth="1"/>
    <col min="4" max="4" width="5.42578125" customWidth="1"/>
    <col min="6" max="6" width="31.42578125" customWidth="1"/>
    <col min="7" max="7" width="7.85546875" customWidth="1"/>
  </cols>
  <sheetData>
    <row r="1" spans="1:7" ht="44.25" x14ac:dyDescent="0.25">
      <c r="A1" s="30" t="s">
        <v>1097</v>
      </c>
      <c r="F1" s="3"/>
      <c r="G1" s="3"/>
    </row>
    <row r="2" spans="1:7" ht="24.75" x14ac:dyDescent="0.25">
      <c r="B2" s="2"/>
      <c r="C2" s="2"/>
      <c r="D2" s="2"/>
      <c r="E2" s="4"/>
      <c r="F2" s="3"/>
      <c r="G2" s="3"/>
    </row>
    <row r="3" spans="1:7" ht="20.25" thickBot="1" x14ac:dyDescent="0.3">
      <c r="A3" s="22" t="s">
        <v>861</v>
      </c>
      <c r="B3" s="23" t="s">
        <v>919</v>
      </c>
      <c r="C3" s="24" t="s">
        <v>0</v>
      </c>
      <c r="E3" s="22" t="s">
        <v>861</v>
      </c>
      <c r="F3" s="23" t="s">
        <v>919</v>
      </c>
      <c r="G3" s="24" t="s">
        <v>0</v>
      </c>
    </row>
    <row r="4" spans="1:7" x14ac:dyDescent="0.25">
      <c r="A4" s="3"/>
      <c r="B4" s="3"/>
      <c r="C4" s="3"/>
    </row>
    <row r="5" spans="1:7" x14ac:dyDescent="0.25">
      <c r="A5" s="15">
        <v>505</v>
      </c>
      <c r="B5" s="25" t="str">
        <f>IFERROR(VLOOKUP(A5,'BRI Insert'!A:C,3,FALSE),(VLOOKUP(A5,'Product Names BRI'!A:B,2,FALSE)))</f>
        <v>FRUIT JUICE BERRIES</v>
      </c>
      <c r="C5" s="26">
        <f>IFERROR(VLOOKUP(A5,'BRI Insert'!A:D,4,FALSE),MISC!A20)</f>
        <v>0</v>
      </c>
      <c r="E5" s="15">
        <v>2927</v>
      </c>
      <c r="F5" s="25" t="str">
        <f>IFERROR(VLOOKUP(E5,'BRI Insert'!A:C,3,FALSE),(VLOOKUP(E5,'Product Names BRI'!A:B,2,FALSE)))</f>
        <v>DINOSAUR GUMMIES</v>
      </c>
      <c r="G5" s="25">
        <f>IFERROR(VLOOKUP(E5,'BRI Insert'!A:D,4,FALSE),MISC!A1)</f>
        <v>0</v>
      </c>
    </row>
    <row r="6" spans="1:7" x14ac:dyDescent="0.25">
      <c r="A6" s="15">
        <v>506</v>
      </c>
      <c r="B6" s="25" t="str">
        <f>IFERROR(VLOOKUP(A6,'BRI Insert'!A:C,3,FALSE),(VLOOKUP(A6,'Product Names BRI'!A:B,2,FALSE)))</f>
        <v>SOUR FRUIT JUICE BERRIES</v>
      </c>
      <c r="C6" s="26">
        <f>IFERROR(VLOOKUP(A6,'BRI Insert'!A:D,4,FALSE),MISC!A25)</f>
        <v>0</v>
      </c>
      <c r="E6" s="15">
        <v>12521</v>
      </c>
      <c r="F6" s="25" t="str">
        <f>IFERROR(VLOOKUP(E6,'BRI Insert'!A:C,3,FALSE),(VLOOKUP(E6,'Product Names BRI'!A:B,2,FALSE)))</f>
        <v>TOOTSIE POPS BULK</v>
      </c>
      <c r="G6" s="25">
        <f>IFERROR(VLOOKUP(E6,'BRI Insert'!A:D,4,FALSE),MISC!A13)</f>
        <v>0.5</v>
      </c>
    </row>
    <row r="7" spans="1:7" x14ac:dyDescent="0.25">
      <c r="A7" s="15">
        <v>507</v>
      </c>
      <c r="B7" s="25" t="str">
        <f>IFERROR(VLOOKUP(A7,'BRI Insert'!A:C,3,FALSE),(VLOOKUP(A7,'Product Names BRI'!A:B,2,FALSE)))</f>
        <v>SOUR MUNCHKINS</v>
      </c>
      <c r="C7" s="26">
        <f>IFERROR(VLOOKUP(A7,'BRI Insert'!A:D,4,FALSE),MISC!A21)</f>
        <v>0</v>
      </c>
      <c r="E7" s="15" t="s">
        <v>1069</v>
      </c>
      <c r="F7" s="25" t="str">
        <f>IFERROR(VLOOKUP(E7,'BRI Insert'!A:C,3,FALSE),(VLOOKUP(E7,'Product Names BRI'!A:B,2,FALSE)))</f>
        <v>-</v>
      </c>
      <c r="G7" s="25">
        <f>IFERROR(VLOOKUP(E7,'BRI Insert'!A:D,4,FALSE),MISC!A14)</f>
        <v>0</v>
      </c>
    </row>
    <row r="8" spans="1:7" x14ac:dyDescent="0.25">
      <c r="A8" s="15">
        <v>512</v>
      </c>
      <c r="B8" s="25" t="str">
        <f>IFERROR(VLOOKUP(A8,'BRI Insert'!A:C,3,FALSE),(VLOOKUP(A8,'Product Names BRI'!A:B,2,FALSE)))</f>
        <v>TOOTSIE MINI ROLL</v>
      </c>
      <c r="C8" s="26">
        <f>IFERROR(VLOOKUP(A8,'BRI Insert'!A:D,4,FALSE),MISC!A13)</f>
        <v>0</v>
      </c>
      <c r="E8" s="15" t="s">
        <v>1069</v>
      </c>
      <c r="F8" s="25" t="str">
        <f>IFERROR(VLOOKUP(E8,'BRI Insert'!A:C,3,FALSE),(VLOOKUP(E8,'Product Names BRI'!A:B,2,FALSE)))</f>
        <v>-</v>
      </c>
      <c r="G8" s="25">
        <f>IFERROR(VLOOKUP(E8,'BRI Insert'!A:D,4,FALSE),MISC!A12)</f>
        <v>0</v>
      </c>
    </row>
    <row r="9" spans="1:7" x14ac:dyDescent="0.25">
      <c r="A9" s="15">
        <v>523</v>
      </c>
      <c r="B9" s="25" t="str">
        <f>IFERROR(VLOOKUP(A9,'BRI Insert'!A:C,3,FALSE),(VLOOKUP(A9,'Product Names BRI'!A:B,2,FALSE)))</f>
        <v>SOUR GUMMI BEARS</v>
      </c>
      <c r="C9" s="26">
        <f>IFERROR(VLOOKUP(A9,'BRI Insert'!A:D,4,FALSE),MISC!A27)</f>
        <v>0</v>
      </c>
      <c r="E9" s="15" t="s">
        <v>1069</v>
      </c>
      <c r="F9" s="25" t="str">
        <f>IFERROR(VLOOKUP(E9,'BRI Insert'!A:C,3,FALSE),(VLOOKUP(E9,'Product Names BRI'!A:B,2,FALSE)))</f>
        <v>-</v>
      </c>
      <c r="G9" s="25">
        <f>IFERROR(VLOOKUP(E9,'BRI Insert'!A:D,4,FALSE),MISC!A8)</f>
        <v>0</v>
      </c>
    </row>
    <row r="10" spans="1:7" x14ac:dyDescent="0.25">
      <c r="A10" s="15">
        <v>526</v>
      </c>
      <c r="B10" s="25" t="str">
        <f>IFERROR(VLOOKUP(A10,'BRI Insert'!A:C,3,FALSE),(VLOOKUP(A10,'Product Names BRI'!A:B,2,FALSE)))</f>
        <v>LICORICE CIGARS</v>
      </c>
      <c r="C10" s="26">
        <f>IFERROR(VLOOKUP(A10,'BRI Insert'!A:D,4,FALSE),MISC!A4)</f>
        <v>0</v>
      </c>
      <c r="E10" s="15" t="s">
        <v>1069</v>
      </c>
      <c r="F10" s="25" t="str">
        <f>IFERROR(VLOOKUP(E10,'BRI Insert'!A:C,3,FALSE),(VLOOKUP(E10,'Product Names BRI'!A:B,2,FALSE)))</f>
        <v>-</v>
      </c>
      <c r="G10" s="25">
        <f>IFERROR(VLOOKUP(E10,'BRI Insert'!A:D,4,FALSE),MISC!A10)</f>
        <v>0</v>
      </c>
    </row>
    <row r="11" spans="1:7" x14ac:dyDescent="0.25">
      <c r="A11" s="15">
        <v>532</v>
      </c>
      <c r="B11" s="25" t="str">
        <f>IFERROR(VLOOKUP(A11,'BRI Insert'!A:C,3,FALSE),(VLOOKUP(A11,'Product Names BRI'!A:B,2,FALSE)))</f>
        <v>SOUR BLUE BIG FOOT</v>
      </c>
      <c r="C11" s="26">
        <f>IFERROR(VLOOKUP(A11,'BRI Insert'!A:D,4,FALSE),MISC!A8)</f>
        <v>0</v>
      </c>
      <c r="E11" s="15" t="s">
        <v>1069</v>
      </c>
      <c r="F11" s="25" t="str">
        <f>IFERROR(VLOOKUP(E11,'BRI Insert'!A:C,3,FALSE),(VLOOKUP(E11,'Product Names BRI'!A:B,2,FALSE)))</f>
        <v>-</v>
      </c>
      <c r="G11" s="25">
        <f>IFERROR(VLOOKUP(E11,'BRI Insert'!A:D,4,FALSE),MISC!A4)</f>
        <v>0</v>
      </c>
    </row>
    <row r="12" spans="1:7" x14ac:dyDescent="0.25">
      <c r="A12" s="34">
        <v>537</v>
      </c>
      <c r="B12" s="25" t="str">
        <f>IFERROR(VLOOKUP(A12,'BRI Insert'!A:C,3,FALSE),(VLOOKUP(A12,'Product Names BRI'!A:B,2,FALSE)))</f>
        <v>PANDA LICORICE</v>
      </c>
      <c r="C12" s="26">
        <f>IFERROR(VLOOKUP(A12,'BRI Insert'!A:D,4,FALSE),MISC!A19)</f>
        <v>0</v>
      </c>
      <c r="E12" s="15" t="s">
        <v>1069</v>
      </c>
      <c r="F12" s="25" t="str">
        <f>IFERROR(VLOOKUP(E12,'BRI Insert'!A:C,3,FALSE),(VLOOKUP(E12,'Product Names BRI'!A:B,2,FALSE)))</f>
        <v>-</v>
      </c>
      <c r="G12" s="25">
        <f>IFERROR(VLOOKUP(E12,'BRI Insert'!A:D,4,FALSE),MISC!A7)</f>
        <v>0</v>
      </c>
    </row>
    <row r="13" spans="1:7" x14ac:dyDescent="0.25">
      <c r="A13" s="15">
        <v>539</v>
      </c>
      <c r="B13" s="25" t="str">
        <f>IFERROR(VLOOKUP(A13,'BRI Insert'!A:C,3,FALSE),(VLOOKUP(A13,'Product Names BRI'!A:B,2,FALSE)))</f>
        <v>SOUR FRUIT SLICES</v>
      </c>
      <c r="C13" s="26">
        <f>IFERROR(VLOOKUP(A13,'BRI Insert'!A:D,4,FALSE),MISC!A31)</f>
        <v>1</v>
      </c>
      <c r="E13" s="15" t="s">
        <v>1069</v>
      </c>
      <c r="F13" s="25" t="str">
        <f>IFERROR(VLOOKUP(E13,'BRI Insert'!A:C,3,FALSE),(VLOOKUP(E13,'Product Names BRI'!A:B,2,FALSE)))</f>
        <v>-</v>
      </c>
      <c r="G13" s="25">
        <f>IFERROR(VLOOKUP(E13,'BRI Insert'!A:D,4,FALSE),MISC!A20)</f>
        <v>0</v>
      </c>
    </row>
    <row r="14" spans="1:7" x14ac:dyDescent="0.25">
      <c r="A14" s="15">
        <v>549</v>
      </c>
      <c r="B14" s="25" t="str">
        <f>IFERROR(VLOOKUP(A14,'BRI Insert'!A:C,3,FALSE),(VLOOKUP(A14,'Product Names BRI'!A:B,2,FALSE)))</f>
        <v>SMALL GUMMIE BEARS</v>
      </c>
      <c r="C14" s="26">
        <f>IFERROR(VLOOKUP(A14,'BRI Insert'!A:D,4,FALSE),MISC!A15)</f>
        <v>0.5</v>
      </c>
      <c r="E14" s="15" t="s">
        <v>1069</v>
      </c>
      <c r="F14" s="25" t="str">
        <f>IFERROR(VLOOKUP(E14,'BRI Insert'!A:C,3,FALSE),(VLOOKUP(E14,'Product Names BRI'!A:B,2,FALSE)))</f>
        <v>-</v>
      </c>
      <c r="G14" s="25">
        <f>IFERROR(VLOOKUP(E14,'BRI Insert'!A:D,4,FALSE),MISC!A21)</f>
        <v>0</v>
      </c>
    </row>
    <row r="15" spans="1:7" x14ac:dyDescent="0.25">
      <c r="A15" s="15">
        <v>554</v>
      </c>
      <c r="B15" s="25" t="str">
        <f>IFERROR(VLOOKUP(A15,'BRI Insert'!A:C,3,FALSE),(VLOOKUP(A15,'Product Names BRI'!A:B,2,FALSE)))</f>
        <v>LOLLY POPS</v>
      </c>
      <c r="C15" s="26">
        <f>IFERROR(VLOOKUP(A15,'BRI Insert'!A:D,4,FALSE),MISC!A18)</f>
        <v>0</v>
      </c>
      <c r="E15" s="15" t="s">
        <v>1069</v>
      </c>
      <c r="F15" s="25" t="str">
        <f>IFERROR(VLOOKUP(E15,'BRI Insert'!A:C,3,FALSE),(VLOOKUP(E15,'Product Names BRI'!A:B,2,FALSE)))</f>
        <v>-</v>
      </c>
      <c r="G15" s="25">
        <f>IFERROR(VLOOKUP(E15,'BRI Insert'!A:D,4,FALSE),MISC!A9)</f>
        <v>0</v>
      </c>
    </row>
    <row r="16" spans="1:7" x14ac:dyDescent="0.25">
      <c r="A16" s="15">
        <v>583</v>
      </c>
      <c r="B16" s="25" t="str">
        <f>IFERROR(VLOOKUP(A16,'BRI Insert'!A:C,3,FALSE),(VLOOKUP(A16,'Product Names BRI'!A:B,2,FALSE)))</f>
        <v>ORANGE/LEMON SLICES</v>
      </c>
      <c r="C16" s="26">
        <f>IFERROR(VLOOKUP(A16,'BRI Insert'!A:D,4,FALSE),MISC!A6)</f>
        <v>1</v>
      </c>
      <c r="E16" s="15" t="s">
        <v>1069</v>
      </c>
      <c r="F16" s="25" t="str">
        <f>IFERROR(VLOOKUP(E16,'BRI Insert'!A:C,3,FALSE),(VLOOKUP(E16,'Product Names BRI'!A:B,2,FALSE)))</f>
        <v>-</v>
      </c>
      <c r="G16" s="25">
        <f>IFERROR(VLOOKUP(E16,'BRI Insert'!A:D,4,FALSE),MISC!A17)</f>
        <v>0</v>
      </c>
    </row>
    <row r="17" spans="1:7" x14ac:dyDescent="0.25">
      <c r="A17" s="15">
        <v>584</v>
      </c>
      <c r="B17" s="25" t="str">
        <f>IFERROR(VLOOKUP(A17,'BRI Insert'!A:C,3,FALSE),(VLOOKUP(A17,'Product Names BRI'!A:B,2,FALSE)))</f>
        <v>SPEARMINT LEAVES</v>
      </c>
      <c r="C17" s="26">
        <f>IFERROR(VLOOKUP(A17,'BRI Insert'!A:D,4,FALSE),MISC!A33)</f>
        <v>0</v>
      </c>
      <c r="E17" s="15" t="s">
        <v>1069</v>
      </c>
      <c r="F17" s="25" t="str">
        <f>IFERROR(VLOOKUP(E17,'BRI Insert'!A:C,3,FALSE),(VLOOKUP(E17,'Product Names BRI'!A:B,2,FALSE)))</f>
        <v>-</v>
      </c>
      <c r="G17" s="25">
        <f>IFERROR(VLOOKUP(E17,'BRI Insert'!A:D,4,FALSE),MISC!A18)</f>
        <v>0</v>
      </c>
    </row>
    <row r="18" spans="1:7" x14ac:dyDescent="0.25">
      <c r="A18" s="15">
        <v>594</v>
      </c>
      <c r="B18" s="25" t="str">
        <f>IFERROR(VLOOKUP(A18,'BRI Insert'!A:C,3,FALSE),(VLOOKUP(A18,'Product Names BRI'!A:B,2,FALSE)))</f>
        <v>GIANT OKEYDOKE</v>
      </c>
      <c r="C18" s="26">
        <f>IFERROR(VLOOKUP(A18,'BRI Insert'!A:D,4,FALSE),MISC!A2)</f>
        <v>0</v>
      </c>
      <c r="E18" s="15" t="s">
        <v>1069</v>
      </c>
      <c r="F18" s="25" t="str">
        <f>IFERROR(VLOOKUP(E18,'BRI Insert'!A:C,3,FALSE),(VLOOKUP(E18,'Product Names BRI'!A:B,2,FALSE)))</f>
        <v>-</v>
      </c>
      <c r="G18" s="25">
        <f>IFERROR(VLOOKUP(E18,'BRI Insert'!A:D,4,FALSE),MISC!A19)</f>
        <v>0</v>
      </c>
    </row>
    <row r="19" spans="1:7" x14ac:dyDescent="0.25">
      <c r="A19" s="15">
        <v>615</v>
      </c>
      <c r="B19" s="25" t="str">
        <f>IFERROR(VLOOKUP(A19,'BRI Insert'!A:C,3,FALSE),(VLOOKUP(A19,'Product Names BRI'!A:B,2,FALSE)))</f>
        <v>GUM DROPS</v>
      </c>
      <c r="C19" s="26">
        <f>IFERROR(VLOOKUP(A19,'BRI Insert'!A:D,4,FALSE),MISC!A5)</f>
        <v>0</v>
      </c>
      <c r="E19" s="15" t="s">
        <v>1069</v>
      </c>
      <c r="F19" s="25" t="str">
        <f>IFERROR(VLOOKUP(E19,'BRI Insert'!A:C,3,FALSE),(VLOOKUP(E19,'Product Names BRI'!A:B,2,FALSE)))</f>
        <v>-</v>
      </c>
      <c r="G19" s="25">
        <f>IFERROR(VLOOKUP(E19,'BRI Insert'!A:D,4,FALSE),MISC!A26)</f>
        <v>0</v>
      </c>
    </row>
    <row r="20" spans="1:7" x14ac:dyDescent="0.25">
      <c r="A20" s="15">
        <v>622</v>
      </c>
      <c r="B20" s="25" t="str">
        <f>IFERROR(VLOOKUP(A20,'BRI Insert'!A:C,3,FALSE),(VLOOKUP(A20,'Product Names BRI'!A:B,2,FALSE)))</f>
        <v>LICORICE BABIES</v>
      </c>
      <c r="C20" s="26">
        <f>IFERROR(VLOOKUP(A20,'BRI Insert'!A:D,4,FALSE),MISC!A22)</f>
        <v>0.25</v>
      </c>
      <c r="E20" s="15" t="s">
        <v>1069</v>
      </c>
      <c r="F20" s="25" t="str">
        <f>IFERROR(VLOOKUP(E20,'BRI Insert'!A:C,3,FALSE),(VLOOKUP(E20,'Product Names BRI'!A:B,2,FALSE)))</f>
        <v>-</v>
      </c>
      <c r="G20" s="25">
        <f>IFERROR(VLOOKUP(E20,'BRI Insert'!A:D,4,FALSE),MISC!A16)</f>
        <v>0</v>
      </c>
    </row>
    <row r="21" spans="1:7" x14ac:dyDescent="0.25">
      <c r="A21" s="15">
        <v>629</v>
      </c>
      <c r="B21" s="25" t="str">
        <f>IFERROR(VLOOKUP(A21,'BRI Insert'!A:C,3,FALSE),(VLOOKUP(A21,'Product Names BRI'!A:B,2,FALSE)))</f>
        <v>LICORICE ALLSORTS</v>
      </c>
      <c r="C21" s="26">
        <f>IFERROR(VLOOKUP(A21,'BRI Insert'!A:D,4,FALSE),MISC!A1)</f>
        <v>0.25</v>
      </c>
      <c r="E21" s="15" t="s">
        <v>1069</v>
      </c>
      <c r="F21" s="25" t="str">
        <f>IFERROR(VLOOKUP(E21,'BRI Insert'!A:C,3,FALSE),(VLOOKUP(E21,'Product Names BRI'!A:B,2,FALSE)))</f>
        <v>-</v>
      </c>
      <c r="G21" s="25">
        <f>IFERROR(VLOOKUP(E21,'BRI Insert'!A:D,4,FALSE),MISC!A22)</f>
        <v>0</v>
      </c>
    </row>
    <row r="22" spans="1:7" x14ac:dyDescent="0.25">
      <c r="A22" s="15">
        <v>642</v>
      </c>
      <c r="B22" s="25" t="str">
        <f>IFERROR(VLOOKUP(A22,'BRI Insert'!A:C,3,FALSE),(VLOOKUP(A22,'Product Names BRI'!A:B,2,FALSE)))</f>
        <v>PEACH SLICES</v>
      </c>
      <c r="C22" s="26">
        <f>IFERROR(VLOOKUP(A22,'BRI Insert'!A:D,4,FALSE),MISC!A7)</f>
        <v>0.25</v>
      </c>
      <c r="E22" s="15" t="s">
        <v>1069</v>
      </c>
      <c r="F22" s="25" t="str">
        <f>IFERROR(VLOOKUP(E22,'BRI Insert'!A:C,3,FALSE),(VLOOKUP(E22,'Product Names BRI'!A:B,2,FALSE)))</f>
        <v>-</v>
      </c>
      <c r="G22" s="25">
        <f>IFERROR(VLOOKUP(E22,'BRI Insert'!A:D,4,FALSE),MISC!A23)</f>
        <v>0</v>
      </c>
    </row>
    <row r="23" spans="1:7" x14ac:dyDescent="0.25">
      <c r="A23" s="15">
        <v>653</v>
      </c>
      <c r="B23" s="25" t="str">
        <f>IFERROR(VLOOKUP(A23,'BRI Insert'!A:C,3,FALSE),(VLOOKUP(A23,'Product Names BRI'!A:B,2,FALSE)))</f>
        <v>MINI SOUR BLUE RASPBERRIES</v>
      </c>
      <c r="C23" s="26">
        <f>IFERROR(VLOOKUP(A23,'BRI Insert'!A:D,4,FALSE),MISC!A37)</f>
        <v>0</v>
      </c>
      <c r="E23" s="15" t="s">
        <v>1069</v>
      </c>
      <c r="F23" s="25" t="str">
        <f>IFERROR(VLOOKUP(E23,'BRI Insert'!A:C,3,FALSE),(VLOOKUP(E23,'Product Names BRI'!A:B,2,FALSE)))</f>
        <v>-</v>
      </c>
      <c r="G23" s="25">
        <f>IFERROR(VLOOKUP(E23,'BRI Insert'!A:D,4,FALSE),MISC!A24)</f>
        <v>0</v>
      </c>
    </row>
    <row r="24" spans="1:7" x14ac:dyDescent="0.25">
      <c r="A24" s="15">
        <v>665</v>
      </c>
      <c r="B24" s="25" t="str">
        <f>IFERROR(VLOOKUP(A24,'BRI Insert'!A:C,3,FALSE),(VLOOKUP(A24,'Product Names BRI'!A:B,2,FALSE)))</f>
        <v>GUMMI BEARS - LARGE</v>
      </c>
      <c r="C24" s="26">
        <f>IFERROR(VLOOKUP(A24,'BRI Insert'!A:D,4,FALSE),MISC!A38)</f>
        <v>0</v>
      </c>
      <c r="E24" s="15" t="s">
        <v>1069</v>
      </c>
      <c r="F24" s="25" t="str">
        <f>IFERROR(VLOOKUP(E24,'BRI Insert'!A:C,3,FALSE),(VLOOKUP(E24,'Product Names BRI'!A:B,2,FALSE)))</f>
        <v>-</v>
      </c>
      <c r="G24" s="25">
        <f>IFERROR(VLOOKUP(E24,'BRI Insert'!A:D,4,FALSE),MISC!A25)</f>
        <v>0</v>
      </c>
    </row>
    <row r="25" spans="1:7" x14ac:dyDescent="0.25">
      <c r="A25" s="15">
        <v>683</v>
      </c>
      <c r="B25" s="25" t="str">
        <f>IFERROR(VLOOKUP(A25,'BRI Insert'!A:C,3,FALSE),(VLOOKUP(A25,'Product Names BRI'!A:B,2,FALSE)))</f>
        <v>BLACK LACES</v>
      </c>
      <c r="C25" s="26">
        <f>IFERROR(VLOOKUP(A25,'BRI Insert'!A:D,4,FALSE),MISC!A29)</f>
        <v>0</v>
      </c>
      <c r="E25" s="15" t="s">
        <v>1069</v>
      </c>
      <c r="F25" s="25" t="str">
        <f>IFERROR(VLOOKUP(E25,'BRI Insert'!A:C,3,FALSE),(VLOOKUP(E25,'Product Names BRI'!A:B,2,FALSE)))</f>
        <v>-</v>
      </c>
      <c r="G25" s="25">
        <f>IFERROR(VLOOKUP(E25,'BRI Insert'!A:D,4,FALSE),MISC!A5)</f>
        <v>0</v>
      </c>
    </row>
    <row r="26" spans="1:7" x14ac:dyDescent="0.25">
      <c r="A26" s="15">
        <v>694</v>
      </c>
      <c r="B26" s="25" t="str">
        <f>IFERROR(VLOOKUP(A26,'BRI Insert'!A:C,3,FALSE),(VLOOKUP(A26,'Product Names BRI'!A:B,2,FALSE)))</f>
        <v>AUSSIE SOFT SYLE LIC.RED</v>
      </c>
      <c r="C26" s="26">
        <f>IFERROR(VLOOKUP(A26,'BRI Insert'!A:D,4,FALSE),MISC!A3)</f>
        <v>0</v>
      </c>
      <c r="E26" s="15" t="s">
        <v>1069</v>
      </c>
      <c r="F26" s="25" t="str">
        <f>IFERROR(VLOOKUP(E26,'BRI Insert'!A:C,3,FALSE),(VLOOKUP(E26,'Product Names BRI'!A:B,2,FALSE)))</f>
        <v>-</v>
      </c>
      <c r="G26" s="25">
        <f>IFERROR(VLOOKUP(E26,'BRI Insert'!A:D,4,FALSE),MISC!A6)</f>
        <v>0</v>
      </c>
    </row>
    <row r="27" spans="1:7" x14ac:dyDescent="0.25">
      <c r="A27" s="15">
        <v>695</v>
      </c>
      <c r="B27" s="25" t="str">
        <f>IFERROR(VLOOKUP(A27,'BRI Insert'!A:C,3,FALSE),(VLOOKUP(A27,'Product Names BRI'!A:B,2,FALSE)))</f>
        <v>AUSSIE SOFT SYLE LIC.BLACK</v>
      </c>
      <c r="C27" s="26">
        <f>IFERROR(VLOOKUP(A27,'BRI Insert'!A:D,4,FALSE),MISC!A16)</f>
        <v>0</v>
      </c>
      <c r="E27" s="15" t="s">
        <v>1069</v>
      </c>
      <c r="F27" s="25" t="str">
        <f>IFERROR(VLOOKUP(E27,'BRI Insert'!A:C,3,FALSE),(VLOOKUP(E27,'Product Names BRI'!A:B,2,FALSE)))</f>
        <v>-</v>
      </c>
      <c r="G27" s="25">
        <f>IFERROR(VLOOKUP(E27,'BRI Insert'!A:D,4,FALSE),MISC!A3)</f>
        <v>0</v>
      </c>
    </row>
    <row r="28" spans="1:7" x14ac:dyDescent="0.25">
      <c r="A28" s="15">
        <v>697</v>
      </c>
      <c r="B28" s="25" t="str">
        <f>IFERROR(VLOOKUP(A28,'BRI Insert'!A:C,3,FALSE),(VLOOKUP(A28,'Product Names BRI'!A:B,2,FALSE)))</f>
        <v>MINI CUB GUMMIES</v>
      </c>
      <c r="C28" s="26">
        <f>IFERROR(VLOOKUP(A28,'BRI Insert'!A:D,4,FALSE),MISC!A30)</f>
        <v>0</v>
      </c>
      <c r="E28" s="15" t="s">
        <v>1069</v>
      </c>
      <c r="F28" s="25" t="str">
        <f>IFERROR(VLOOKUP(E28,'BRI Insert'!A:C,3,FALSE),(VLOOKUP(E28,'Product Names BRI'!A:B,2,FALSE)))</f>
        <v>-</v>
      </c>
      <c r="G28" s="25">
        <f>IFERROR(VLOOKUP(E28,'BRI Insert'!A:D,4,FALSE),MISC!A15)</f>
        <v>0</v>
      </c>
    </row>
    <row r="29" spans="1:7" x14ac:dyDescent="0.25">
      <c r="A29" s="15">
        <v>706</v>
      </c>
      <c r="B29" s="25" t="str">
        <f>IFERROR(VLOOKUP(A29,'BRI Insert'!A:C,3,FALSE),(VLOOKUP(A29,'Product Names BRI'!A:B,2,FALSE)))</f>
        <v>FRUIT JUICE GUMMY BEARS</v>
      </c>
      <c r="C29" s="26">
        <f>IFERROR(VLOOKUP(A29,'BRI Insert'!A:D,4,FALSE),MISC!A10)</f>
        <v>0</v>
      </c>
      <c r="E29" s="15" t="s">
        <v>1069</v>
      </c>
      <c r="F29" s="25" t="str">
        <f>IFERROR(VLOOKUP(E29,'BRI Insert'!A:C,3,FALSE),(VLOOKUP(E29,'Product Names BRI'!A:B,2,FALSE)))</f>
        <v>-</v>
      </c>
      <c r="G29" s="25">
        <f>IFERROR(VLOOKUP(E29,'BRI Insert'!A:D,4,FALSE),MISC!A2)</f>
        <v>0</v>
      </c>
    </row>
    <row r="30" spans="1:7" x14ac:dyDescent="0.25">
      <c r="A30" s="15">
        <v>740</v>
      </c>
      <c r="B30" s="25" t="str">
        <f>IFERROR(VLOOKUP(A30,'BRI Insert'!A:C,3,FALSE),(VLOOKUP(A30,'Product Names BRI'!A:B,2,FALSE)))</f>
        <v>JUICY SOUR BLUE RASP RINGS</v>
      </c>
      <c r="C30" s="26">
        <f>IFERROR(VLOOKUP(A30,'BRI Insert'!A:D,4,FALSE),MISC!A34)</f>
        <v>0</v>
      </c>
      <c r="E30" s="15" t="s">
        <v>1069</v>
      </c>
      <c r="F30" s="25" t="str">
        <f>IFERROR(VLOOKUP(E30,'BRI Insert'!A:C,3,FALSE),(VLOOKUP(E30,'Product Names BRI'!A:B,2,FALSE)))</f>
        <v>-</v>
      </c>
      <c r="G30" s="25">
        <f>IFERROR(VLOOKUP(E30,'BRI Insert'!A:D,4,FALSE),MISC!A11)</f>
        <v>0</v>
      </c>
    </row>
    <row r="31" spans="1:7" x14ac:dyDescent="0.25">
      <c r="A31" s="15">
        <v>787</v>
      </c>
      <c r="B31" s="25" t="str">
        <f>IFERROR(VLOOKUP(A31,'BRI Insert'!A:C,3,FALSE),(VLOOKUP(A31,'Product Names BRI'!A:B,2,FALSE)))</f>
        <v>FRUIT SLICES</v>
      </c>
      <c r="C31" s="26">
        <f>IFERROR(VLOOKUP(A31,'BRI Insert'!A:D,4,FALSE),MISC!A9)</f>
        <v>0</v>
      </c>
      <c r="E31" s="15" t="s">
        <v>1069</v>
      </c>
      <c r="F31" s="25" t="str">
        <f>IFERROR(VLOOKUP(E31,'BRI Insert'!A:C,3,FALSE),(VLOOKUP(E31,'Product Names BRI'!A:B,2,FALSE)))</f>
        <v>-</v>
      </c>
      <c r="G31" s="25">
        <f>IFERROR(VLOOKUP(E31,'BRI Insert'!A:D,4,FALSE),MISC!A37)</f>
        <v>0</v>
      </c>
    </row>
    <row r="32" spans="1:7" x14ac:dyDescent="0.25">
      <c r="A32" s="15">
        <v>2263</v>
      </c>
      <c r="B32" s="25" t="str">
        <f>IFERROR(VLOOKUP(A32,'BRI Insert'!A:C,3,FALSE),(VLOOKUP(A32,'Product Names BRI'!A:B,2,FALSE)))</f>
        <v>BLUE WHALES</v>
      </c>
      <c r="C32" s="26">
        <f>IFERROR(VLOOKUP(A32,'BRI Insert'!A:D,4,FALSE),MISC!A28)</f>
        <v>0</v>
      </c>
      <c r="E32" s="15" t="s">
        <v>1069</v>
      </c>
      <c r="F32" s="25" t="str">
        <f>IFERROR(VLOOKUP(E32,'BRI Insert'!A:C,3,FALSE),(VLOOKUP(E32,'Product Names BRI'!A:B,2,FALSE)))</f>
        <v>-</v>
      </c>
      <c r="G32" s="25">
        <f>IFERROR(VLOOKUP(E32,'BRI Insert'!A:D,4,FALSE),MISC!A38)</f>
        <v>0</v>
      </c>
    </row>
    <row r="33" spans="1:7" x14ac:dyDescent="0.25">
      <c r="A33" s="15">
        <v>2264</v>
      </c>
      <c r="B33" s="25" t="str">
        <f>IFERROR(VLOOKUP(A33,'BRI Insert'!A:C,3,FALSE),(VLOOKUP(A33,'Product Names BRI'!A:B,2,FALSE)))</f>
        <v>CHERRY TWISTS</v>
      </c>
      <c r="C33" s="26">
        <f>IFERROR(VLOOKUP(A33,'BRI Insert'!A:D,4,FALSE),MISC!A14)</f>
        <v>0</v>
      </c>
      <c r="E33" s="15" t="s">
        <v>1069</v>
      </c>
      <c r="F33" s="25" t="str">
        <f>IFERROR(VLOOKUP(E33,'BRI Insert'!A:C,3,FALSE),(VLOOKUP(E33,'Product Names BRI'!A:B,2,FALSE)))</f>
        <v>-</v>
      </c>
      <c r="G33" s="25">
        <f>IFERROR(VLOOKUP(E33,'BRI Insert'!A:D,4,FALSE),MISC!A39)</f>
        <v>0</v>
      </c>
    </row>
    <row r="34" spans="1:7" x14ac:dyDescent="0.25">
      <c r="A34" s="15">
        <v>2350</v>
      </c>
      <c r="B34" s="25" t="str">
        <f>IFERROR(VLOOKUP(A34,'BRI Insert'!A:C,3,FALSE),(VLOOKUP(A34,'Product Names BRI'!A:B,2,FALSE)))</f>
        <v>MINI ALLSORTS</v>
      </c>
      <c r="C34" s="26">
        <f>IFERROR(VLOOKUP(A34,'BRI Insert'!A:D,4,FALSE),MISC!A39)</f>
        <v>1</v>
      </c>
      <c r="E34" s="15" t="s">
        <v>1069</v>
      </c>
      <c r="F34" s="25" t="str">
        <f>IFERROR(VLOOKUP(E34,'BRI Insert'!A:C,3,FALSE),(VLOOKUP(E34,'Product Names BRI'!A:B,2,FALSE)))</f>
        <v>-</v>
      </c>
      <c r="G34" s="25">
        <f>IFERROR(VLOOKUP(E34,'BRI Insert'!A:D,4,FALSE),MISC!A27)</f>
        <v>0</v>
      </c>
    </row>
    <row r="35" spans="1:7" x14ac:dyDescent="0.25">
      <c r="A35" s="15">
        <v>2352</v>
      </c>
      <c r="B35" s="25" t="str">
        <f>IFERROR(VLOOKUP(A35,'BRI Insert'!A:C,3,FALSE),(VLOOKUP(A35,'Product Names BRI'!A:B,2,FALSE)))</f>
        <v>WARHEADS HARD CANDY</v>
      </c>
      <c r="C35" s="26">
        <f>IFERROR(VLOOKUP(A35,'BRI Insert'!A:D,4,FALSE),MISC!A32)</f>
        <v>0.75</v>
      </c>
      <c r="E35" s="15" t="s">
        <v>1069</v>
      </c>
      <c r="F35" s="25" t="str">
        <f>IFERROR(VLOOKUP(E35,'BRI Insert'!A:C,3,FALSE),(VLOOKUP(E35,'Product Names BRI'!A:B,2,FALSE)))</f>
        <v>-</v>
      </c>
      <c r="G35" s="25">
        <f>IFERROR(VLOOKUP(E35,'BRI Insert'!A:D,4,FALSE),MISC!A28)</f>
        <v>0</v>
      </c>
    </row>
    <row r="36" spans="1:7" x14ac:dyDescent="0.25">
      <c r="A36" s="15">
        <v>2390</v>
      </c>
      <c r="B36" s="25" t="str">
        <f>IFERROR(VLOOKUP(A36,'BRI Insert'!A:C,3,FALSE),(VLOOKUP(A36,'Product Names BRI'!A:B,2,FALSE)))</f>
        <v>FUNSORTS RED</v>
      </c>
      <c r="C36" s="26">
        <f>IFERROR(VLOOKUP(A36,'BRI Insert'!A:D,4,FALSE),MISC!A36)</f>
        <v>0.75</v>
      </c>
      <c r="E36" s="15" t="s">
        <v>1069</v>
      </c>
      <c r="F36" s="25" t="str">
        <f>IFERROR(VLOOKUP(E36,'BRI Insert'!A:C,3,FALSE),(VLOOKUP(E36,'Product Names BRI'!A:B,2,FALSE)))</f>
        <v>-</v>
      </c>
      <c r="G36" s="25">
        <f>IFERROR(VLOOKUP(E36,'BRI Insert'!A:D,4,FALSE),MISC!A29)</f>
        <v>0</v>
      </c>
    </row>
    <row r="37" spans="1:7" x14ac:dyDescent="0.25">
      <c r="A37" s="15">
        <v>2462</v>
      </c>
      <c r="B37" s="25" t="str">
        <f>IFERROR(VLOOKUP(A37,'BRI Insert'!A:C,3,FALSE),(VLOOKUP(A37,'Product Names BRI'!A:B,2,FALSE)))</f>
        <v>TWIZZLERS CHERRY NIBS</v>
      </c>
      <c r="C37" s="26">
        <f>IFERROR(VLOOKUP(A37,'BRI Insert'!A:D,4,FALSE),MISC!A35)</f>
        <v>0</v>
      </c>
      <c r="E37" s="15" t="s">
        <v>1069</v>
      </c>
      <c r="F37" s="25" t="str">
        <f>IFERROR(VLOOKUP(E37,'BRI Insert'!A:C,3,FALSE),(VLOOKUP(E37,'Product Names BRI'!A:B,2,FALSE)))</f>
        <v>-</v>
      </c>
      <c r="G37" s="25">
        <f>IFERROR(VLOOKUP(E37,'BRI Insert'!A:D,4,FALSE),MISC!A30)</f>
        <v>0</v>
      </c>
    </row>
    <row r="38" spans="1:7" x14ac:dyDescent="0.25">
      <c r="A38" s="15">
        <v>2563</v>
      </c>
      <c r="B38" s="25" t="str">
        <f>IFERROR(VLOOKUP(A38,'BRI Insert'!A:C,3,FALSE),(VLOOKUP(A38,'Product Names BRI'!A:B,2,FALSE)))</f>
        <v>ORGANIC GUMMI BEARS</v>
      </c>
      <c r="C38" s="26">
        <f>IFERROR(VLOOKUP(A38,'BRI Insert'!A:D,4,FALSE),MISC!A11)</f>
        <v>0</v>
      </c>
      <c r="E38" s="15" t="s">
        <v>1069</v>
      </c>
      <c r="F38" s="25" t="str">
        <f>IFERROR(VLOOKUP(E38,'BRI Insert'!A:C,3,FALSE),(VLOOKUP(E38,'Product Names BRI'!A:B,2,FALSE)))</f>
        <v>-</v>
      </c>
      <c r="G38" s="25">
        <f>IFERROR(VLOOKUP(E38,'BRI Insert'!A:D,4,FALSE),MISC!A31)</f>
        <v>0</v>
      </c>
    </row>
    <row r="39" spans="1:7" x14ac:dyDescent="0.25">
      <c r="A39" s="15">
        <v>2618</v>
      </c>
      <c r="B39" s="25" t="str">
        <f>IFERROR(VLOOKUP(A39,'BRI Insert'!A:C,3,FALSE),(VLOOKUP(A39,'Product Names BRI'!A:B,2,FALSE)))</f>
        <v>LICORICE FUNSORTS BLACK</v>
      </c>
      <c r="C39" s="26">
        <f>IFERROR(VLOOKUP(A39,'BRI Insert'!A:D,4,FALSE),MISC!A17)</f>
        <v>0.25</v>
      </c>
      <c r="E39" s="15" t="s">
        <v>1069</v>
      </c>
      <c r="F39" s="25" t="str">
        <f>IFERROR(VLOOKUP(E39,'BRI Insert'!A:C,3,FALSE),(VLOOKUP(E39,'Product Names BRI'!A:B,2,FALSE)))</f>
        <v>-</v>
      </c>
      <c r="G39" s="25">
        <f>IFERROR(VLOOKUP(E39,'BRI Insert'!A:D,4,FALSE),MISC!A32)</f>
        <v>0</v>
      </c>
    </row>
    <row r="40" spans="1:7" x14ac:dyDescent="0.25">
      <c r="A40" s="15">
        <v>2713</v>
      </c>
      <c r="B40" s="25" t="str">
        <f>IFERROR(VLOOKUP(A40,'BRI Insert'!A:C,3,FALSE),(VLOOKUP(A40,'Product Names BRI'!A:B,2,FALSE)))</f>
        <v>GOURMET GUMMI BEARS</v>
      </c>
      <c r="C40" s="26">
        <f>IFERROR(VLOOKUP(A40,'BRI Insert'!A:D,4,FALSE),MISC!A12)</f>
        <v>0</v>
      </c>
      <c r="E40" s="15" t="s">
        <v>1069</v>
      </c>
      <c r="F40" s="25" t="str">
        <f>IFERROR(VLOOKUP(E40,'BRI Insert'!A:C,3,FALSE),(VLOOKUP(E40,'Product Names BRI'!A:B,2,FALSE)))</f>
        <v>-</v>
      </c>
      <c r="G40" s="25">
        <f>IFERROR(VLOOKUP(E40,'BRI Insert'!A:D,4,FALSE),MISC!A33)</f>
        <v>0</v>
      </c>
    </row>
    <row r="41" spans="1:7" x14ac:dyDescent="0.25">
      <c r="A41" s="15">
        <v>2741</v>
      </c>
      <c r="B41" s="25" t="str">
        <f>IFERROR(VLOOKUP(A41,'BRI Insert'!A:C,3,FALSE),(VLOOKUP(A41,'Product Names BRI'!A:B,2,FALSE)))</f>
        <v>ORGANIC VEGAN PROTEIN POWDER</v>
      </c>
      <c r="C41" s="26">
        <f>IFERROR(VLOOKUP(A41,'BRI Insert'!A:D,4,FALSE),MISC!A23)</f>
        <v>0</v>
      </c>
      <c r="E41" s="15" t="s">
        <v>1069</v>
      </c>
      <c r="F41" s="25" t="str">
        <f>IFERROR(VLOOKUP(E41,'BRI Insert'!A:C,3,FALSE),(VLOOKUP(E41,'Product Names BRI'!A:B,2,FALSE)))</f>
        <v>-</v>
      </c>
      <c r="G41" s="25">
        <f>IFERROR(VLOOKUP(E41,'BRI Insert'!A:D,4,FALSE),MISC!A34)</f>
        <v>0</v>
      </c>
    </row>
    <row r="42" spans="1:7" x14ac:dyDescent="0.25">
      <c r="A42" s="15">
        <v>2789</v>
      </c>
      <c r="B42" s="25" t="str">
        <f>IFERROR(VLOOKUP(A42,'BRI Insert'!A:C,3,FALSE),(VLOOKUP(A42,'Product Names BRI'!A:B,2,FALSE)))</f>
        <v>SOUR BUBBLE GUM LOLLIPOPS</v>
      </c>
      <c r="C42" s="26">
        <f>IFERROR(VLOOKUP(A42,'BRI Insert'!A:D,4,FALSE),MISC!A24)</f>
        <v>0</v>
      </c>
      <c r="E42" s="15" t="s">
        <v>1069</v>
      </c>
      <c r="F42" s="25" t="str">
        <f>IFERROR(VLOOKUP(E42,'BRI Insert'!A:C,3,FALSE),(VLOOKUP(E42,'Product Names BRI'!A:B,2,FALSE)))</f>
        <v>-</v>
      </c>
      <c r="G42" s="25">
        <f>IFERROR(VLOOKUP(E42,'BRI Insert'!A:D,4,FALSE),MISC!A35)</f>
        <v>0</v>
      </c>
    </row>
    <row r="43" spans="1:7" x14ac:dyDescent="0.25">
      <c r="A43" s="15">
        <v>2802</v>
      </c>
      <c r="B43" s="25" t="str">
        <f>IFERROR(VLOOKUP(A43,'BRI Insert'!A:C,3,FALSE),(VLOOKUP(A43,'Product Names BRI'!A:B,2,FALSE)))</f>
        <v>PAPA BEAR GUMMIES</v>
      </c>
      <c r="C43" s="26">
        <f>IFERROR(VLOOKUP(A43,'BRI Insert'!A:D,4,FALSE),MISC!A26)</f>
        <v>0</v>
      </c>
      <c r="E43" s="15" t="s">
        <v>1069</v>
      </c>
      <c r="F43" s="25" t="str">
        <f>IFERROR(VLOOKUP(E43,'BRI Insert'!A:C,3,FALSE),(VLOOKUP(E43,'Product Names BRI'!A:B,2,FALSE)))</f>
        <v>-</v>
      </c>
      <c r="G43" s="25">
        <f>IFERROR(VLOOKUP(E43,'BRI Insert'!A:D,4,FALSE),MISC!A36)</f>
        <v>0</v>
      </c>
    </row>
  </sheetData>
  <sortState ref="E5:E8">
    <sortCondition ref="E5"/>
  </sortState>
  <pageMargins left="0.4" right="0.25" top="0.75" bottom="0.75" header="0.3" footer="0.3"/>
  <pageSetup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43"/>
  <sheetViews>
    <sheetView workbookViewId="0">
      <selection activeCell="A5" sqref="A5:A35"/>
    </sheetView>
  </sheetViews>
  <sheetFormatPr defaultRowHeight="15" x14ac:dyDescent="0.25"/>
  <cols>
    <col min="1" max="1" width="7.5703125" customWidth="1"/>
    <col min="2" max="2" width="31.28515625" customWidth="1"/>
    <col min="3" max="3" width="7" customWidth="1"/>
    <col min="4" max="4" width="5.42578125" customWidth="1"/>
    <col min="6" max="6" width="31.42578125" customWidth="1"/>
    <col min="7" max="7" width="7.85546875" customWidth="1"/>
  </cols>
  <sheetData>
    <row r="1" spans="1:7" ht="44.25" x14ac:dyDescent="0.25">
      <c r="A1" s="30" t="s">
        <v>1098</v>
      </c>
      <c r="F1" s="3"/>
      <c r="G1" s="3"/>
    </row>
    <row r="2" spans="1:7" ht="24.75" x14ac:dyDescent="0.25">
      <c r="B2" s="2"/>
      <c r="C2" s="2"/>
      <c r="D2" s="2"/>
      <c r="E2" s="4"/>
      <c r="F2" s="3"/>
      <c r="G2" s="3"/>
    </row>
    <row r="3" spans="1:7" ht="20.25" thickBot="1" x14ac:dyDescent="0.3">
      <c r="A3" s="22" t="s">
        <v>861</v>
      </c>
      <c r="B3" s="23" t="s">
        <v>919</v>
      </c>
      <c r="C3" s="24" t="s">
        <v>0</v>
      </c>
      <c r="E3" s="22" t="s">
        <v>861</v>
      </c>
      <c r="F3" s="23" t="s">
        <v>919</v>
      </c>
      <c r="G3" s="24" t="s">
        <v>0</v>
      </c>
    </row>
    <row r="4" spans="1:7" x14ac:dyDescent="0.25">
      <c r="A4" s="3"/>
      <c r="B4" s="3"/>
      <c r="C4" s="3"/>
    </row>
    <row r="5" spans="1:7" x14ac:dyDescent="0.25">
      <c r="A5" s="15" t="s">
        <v>1069</v>
      </c>
      <c r="B5" s="25" t="str">
        <f>IFERROR(VLOOKUP(A5,'BRI Insert'!A:C,3,FALSE),(VLOOKUP(A5,'Product Names BRI'!A:B,2,FALSE)))</f>
        <v>-</v>
      </c>
      <c r="C5" s="26">
        <f>IFERROR(VLOOKUP(A5,'BRI Insert'!A:D,4,FALSE),MISC!A20)</f>
        <v>0</v>
      </c>
      <c r="E5" s="15" t="s">
        <v>1069</v>
      </c>
      <c r="F5" s="25" t="str">
        <f>IFERROR(VLOOKUP(E5,'BRI Insert'!A:C,3,FALSE),(VLOOKUP(E5,'Product Names BRI'!A:B,2,FALSE)))</f>
        <v>-</v>
      </c>
      <c r="G5" s="25">
        <f>IFERROR(VLOOKUP(E5,'BRI Insert'!A:D,4,FALSE),MISC!A1)</f>
        <v>0</v>
      </c>
    </row>
    <row r="6" spans="1:7" x14ac:dyDescent="0.25">
      <c r="A6" s="15" t="s">
        <v>1069</v>
      </c>
      <c r="B6" s="25" t="str">
        <f>IFERROR(VLOOKUP(A6,'BRI Insert'!A:C,3,FALSE),(VLOOKUP(A6,'Product Names BRI'!A:B,2,FALSE)))</f>
        <v>-</v>
      </c>
      <c r="C6" s="26">
        <f>IFERROR(VLOOKUP(A6,'BRI Insert'!A:D,4,FALSE),MISC!A25)</f>
        <v>0</v>
      </c>
      <c r="E6" s="15" t="s">
        <v>1069</v>
      </c>
      <c r="F6" s="25" t="str">
        <f>IFERROR(VLOOKUP(E6,'BRI Insert'!A:C,3,FALSE),(VLOOKUP(E6,'Product Names BRI'!A:B,2,FALSE)))</f>
        <v>-</v>
      </c>
      <c r="G6" s="25">
        <f>IFERROR(VLOOKUP(E6,'BRI Insert'!A:D,4,FALSE),MISC!A13)</f>
        <v>0</v>
      </c>
    </row>
    <row r="7" spans="1:7" x14ac:dyDescent="0.25">
      <c r="A7" s="15" t="s">
        <v>1069</v>
      </c>
      <c r="B7" s="25" t="str">
        <f>IFERROR(VLOOKUP(A7,'BRI Insert'!A:C,3,FALSE),(VLOOKUP(A7,'Product Names BRI'!A:B,2,FALSE)))</f>
        <v>-</v>
      </c>
      <c r="C7" s="26">
        <f>IFERROR(VLOOKUP(A7,'BRI Insert'!A:D,4,FALSE),MISC!A21)</f>
        <v>0</v>
      </c>
      <c r="E7" s="15" t="s">
        <v>1069</v>
      </c>
      <c r="F7" s="25" t="str">
        <f>IFERROR(VLOOKUP(E7,'BRI Insert'!A:C,3,FALSE),(VLOOKUP(E7,'Product Names BRI'!A:B,2,FALSE)))</f>
        <v>-</v>
      </c>
      <c r="G7" s="25">
        <f>IFERROR(VLOOKUP(E7,'BRI Insert'!A:D,4,FALSE),MISC!A14)</f>
        <v>0</v>
      </c>
    </row>
    <row r="8" spans="1:7" x14ac:dyDescent="0.25">
      <c r="A8" s="15" t="s">
        <v>1069</v>
      </c>
      <c r="B8" s="25" t="str">
        <f>IFERROR(VLOOKUP(A8,'BRI Insert'!A:C,3,FALSE),(VLOOKUP(A8,'Product Names BRI'!A:B,2,FALSE)))</f>
        <v>-</v>
      </c>
      <c r="C8" s="26">
        <f>IFERROR(VLOOKUP(A8,'BRI Insert'!A:D,4,FALSE),MISC!A13)</f>
        <v>0</v>
      </c>
      <c r="E8" s="15" t="s">
        <v>1069</v>
      </c>
      <c r="F8" s="25" t="str">
        <f>IFERROR(VLOOKUP(E8,'BRI Insert'!A:C,3,FALSE),(VLOOKUP(E8,'Product Names BRI'!A:B,2,FALSE)))</f>
        <v>-</v>
      </c>
      <c r="G8" s="25">
        <f>IFERROR(VLOOKUP(E8,'BRI Insert'!A:D,4,FALSE),MISC!A12)</f>
        <v>0</v>
      </c>
    </row>
    <row r="9" spans="1:7" x14ac:dyDescent="0.25">
      <c r="A9" s="15" t="s">
        <v>1069</v>
      </c>
      <c r="B9" s="25" t="str">
        <f>IFERROR(VLOOKUP(A9,'BRI Insert'!A:C,3,FALSE),(VLOOKUP(A9,'Product Names BRI'!A:B,2,FALSE)))</f>
        <v>-</v>
      </c>
      <c r="C9" s="26">
        <f>IFERROR(VLOOKUP(A9,'BRI Insert'!A:D,4,FALSE),MISC!A27)</f>
        <v>0</v>
      </c>
      <c r="E9" s="15" t="s">
        <v>1069</v>
      </c>
      <c r="F9" s="25" t="str">
        <f>IFERROR(VLOOKUP(E9,'BRI Insert'!A:C,3,FALSE),(VLOOKUP(E9,'Product Names BRI'!A:B,2,FALSE)))</f>
        <v>-</v>
      </c>
      <c r="G9" s="25">
        <f>IFERROR(VLOOKUP(E9,'BRI Insert'!A:D,4,FALSE),MISC!A8)</f>
        <v>0</v>
      </c>
    </row>
    <row r="10" spans="1:7" x14ac:dyDescent="0.25">
      <c r="A10" s="34" t="s">
        <v>1069</v>
      </c>
      <c r="B10" s="25" t="str">
        <f>IFERROR(VLOOKUP(A10,'BRI Insert'!A:C,3,FALSE),(VLOOKUP(A10,'Product Names BRI'!A:B,2,FALSE)))</f>
        <v>-</v>
      </c>
      <c r="C10" s="26">
        <f>IFERROR(VLOOKUP(A10,'BRI Insert'!A:D,4,FALSE),MISC!A4)</f>
        <v>0</v>
      </c>
      <c r="E10" s="15" t="s">
        <v>1069</v>
      </c>
      <c r="F10" s="25" t="str">
        <f>IFERROR(VLOOKUP(E10,'BRI Insert'!A:C,3,FALSE),(VLOOKUP(E10,'Product Names BRI'!A:B,2,FALSE)))</f>
        <v>-</v>
      </c>
      <c r="G10" s="25">
        <f>IFERROR(VLOOKUP(E10,'BRI Insert'!A:D,4,FALSE),MISC!A10)</f>
        <v>0</v>
      </c>
    </row>
    <row r="11" spans="1:7" x14ac:dyDescent="0.25">
      <c r="A11" s="15" t="s">
        <v>1069</v>
      </c>
      <c r="B11" s="25" t="str">
        <f>IFERROR(VLOOKUP(A11,'BRI Insert'!A:C,3,FALSE),(VLOOKUP(A11,'Product Names BRI'!A:B,2,FALSE)))</f>
        <v>-</v>
      </c>
      <c r="C11" s="26">
        <f>IFERROR(VLOOKUP(A11,'BRI Insert'!A:D,4,FALSE),MISC!A8)</f>
        <v>0</v>
      </c>
      <c r="E11" s="15" t="s">
        <v>1069</v>
      </c>
      <c r="F11" s="25" t="str">
        <f>IFERROR(VLOOKUP(E11,'BRI Insert'!A:C,3,FALSE),(VLOOKUP(E11,'Product Names BRI'!A:B,2,FALSE)))</f>
        <v>-</v>
      </c>
      <c r="G11" s="25">
        <f>IFERROR(VLOOKUP(E11,'BRI Insert'!A:D,4,FALSE),MISC!A4)</f>
        <v>0</v>
      </c>
    </row>
    <row r="12" spans="1:7" x14ac:dyDescent="0.25">
      <c r="A12" s="15" t="s">
        <v>1069</v>
      </c>
      <c r="B12" s="25" t="str">
        <f>IFERROR(VLOOKUP(A12,'BRI Insert'!A:C,3,FALSE),(VLOOKUP(A12,'Product Names BRI'!A:B,2,FALSE)))</f>
        <v>-</v>
      </c>
      <c r="C12" s="26">
        <f>IFERROR(VLOOKUP(A12,'BRI Insert'!A:D,4,FALSE),MISC!A19)</f>
        <v>0</v>
      </c>
      <c r="E12" s="15" t="s">
        <v>1069</v>
      </c>
      <c r="F12" s="25" t="str">
        <f>IFERROR(VLOOKUP(E12,'BRI Insert'!A:C,3,FALSE),(VLOOKUP(E12,'Product Names BRI'!A:B,2,FALSE)))</f>
        <v>-</v>
      </c>
      <c r="G12" s="25">
        <f>IFERROR(VLOOKUP(E12,'BRI Insert'!A:D,4,FALSE),MISC!A7)</f>
        <v>0</v>
      </c>
    </row>
    <row r="13" spans="1:7" x14ac:dyDescent="0.25">
      <c r="A13" s="15" t="s">
        <v>1069</v>
      </c>
      <c r="B13" s="25" t="str">
        <f>IFERROR(VLOOKUP(A13,'BRI Insert'!A:C,3,FALSE),(VLOOKUP(A13,'Product Names BRI'!A:B,2,FALSE)))</f>
        <v>-</v>
      </c>
      <c r="C13" s="26">
        <f>IFERROR(VLOOKUP(A13,'BRI Insert'!A:D,4,FALSE),MISC!A31)</f>
        <v>0</v>
      </c>
      <c r="E13" s="15" t="s">
        <v>1069</v>
      </c>
      <c r="F13" s="25" t="str">
        <f>IFERROR(VLOOKUP(E13,'BRI Insert'!A:C,3,FALSE),(VLOOKUP(E13,'Product Names BRI'!A:B,2,FALSE)))</f>
        <v>-</v>
      </c>
      <c r="G13" s="25">
        <f>IFERROR(VLOOKUP(E13,'BRI Insert'!A:D,4,FALSE),MISC!A20)</f>
        <v>0</v>
      </c>
    </row>
    <row r="14" spans="1:7" x14ac:dyDescent="0.25">
      <c r="A14" s="15" t="s">
        <v>1069</v>
      </c>
      <c r="B14" s="25" t="str">
        <f>IFERROR(VLOOKUP(A14,'BRI Insert'!A:C,3,FALSE),(VLOOKUP(A14,'Product Names BRI'!A:B,2,FALSE)))</f>
        <v>-</v>
      </c>
      <c r="C14" s="26">
        <f>IFERROR(VLOOKUP(A14,'BRI Insert'!A:D,4,FALSE),MISC!A15)</f>
        <v>0</v>
      </c>
      <c r="E14" s="15" t="s">
        <v>1069</v>
      </c>
      <c r="F14" s="25" t="str">
        <f>IFERROR(VLOOKUP(E14,'BRI Insert'!A:C,3,FALSE),(VLOOKUP(E14,'Product Names BRI'!A:B,2,FALSE)))</f>
        <v>-</v>
      </c>
      <c r="G14" s="25">
        <f>IFERROR(VLOOKUP(E14,'BRI Insert'!A:D,4,FALSE),MISC!A21)</f>
        <v>0</v>
      </c>
    </row>
    <row r="15" spans="1:7" x14ac:dyDescent="0.25">
      <c r="A15" s="15" t="s">
        <v>1069</v>
      </c>
      <c r="B15" s="25" t="str">
        <f>IFERROR(VLOOKUP(A15,'BRI Insert'!A:C,3,FALSE),(VLOOKUP(A15,'Product Names BRI'!A:B,2,FALSE)))</f>
        <v>-</v>
      </c>
      <c r="C15" s="26">
        <f>IFERROR(VLOOKUP(A15,'BRI Insert'!A:D,4,FALSE),MISC!A18)</f>
        <v>0</v>
      </c>
      <c r="E15" s="15" t="s">
        <v>1069</v>
      </c>
      <c r="F15" s="25" t="str">
        <f>IFERROR(VLOOKUP(E15,'BRI Insert'!A:C,3,FALSE),(VLOOKUP(E15,'Product Names BRI'!A:B,2,FALSE)))</f>
        <v>-</v>
      </c>
      <c r="G15" s="25">
        <f>IFERROR(VLOOKUP(E15,'BRI Insert'!A:D,4,FALSE),MISC!A9)</f>
        <v>0</v>
      </c>
    </row>
    <row r="16" spans="1:7" x14ac:dyDescent="0.25">
      <c r="A16" s="15" t="s">
        <v>1069</v>
      </c>
      <c r="B16" s="25" t="str">
        <f>IFERROR(VLOOKUP(A16,'BRI Insert'!A:C,3,FALSE),(VLOOKUP(A16,'Product Names BRI'!A:B,2,FALSE)))</f>
        <v>-</v>
      </c>
      <c r="C16" s="26">
        <f>IFERROR(VLOOKUP(A16,'BRI Insert'!A:D,4,FALSE),MISC!A6)</f>
        <v>0</v>
      </c>
      <c r="E16" s="15" t="s">
        <v>1069</v>
      </c>
      <c r="F16" s="25" t="str">
        <f>IFERROR(VLOOKUP(E16,'BRI Insert'!A:C,3,FALSE),(VLOOKUP(E16,'Product Names BRI'!A:B,2,FALSE)))</f>
        <v>-</v>
      </c>
      <c r="G16" s="25">
        <f>IFERROR(VLOOKUP(E16,'BRI Insert'!A:D,4,FALSE),MISC!A17)</f>
        <v>0</v>
      </c>
    </row>
    <row r="17" spans="1:7" x14ac:dyDescent="0.25">
      <c r="A17" s="15" t="s">
        <v>1069</v>
      </c>
      <c r="B17" s="25" t="str">
        <f>IFERROR(VLOOKUP(A17,'BRI Insert'!A:C,3,FALSE),(VLOOKUP(A17,'Product Names BRI'!A:B,2,FALSE)))</f>
        <v>-</v>
      </c>
      <c r="C17" s="26">
        <f>IFERROR(VLOOKUP(A17,'BRI Insert'!A:D,4,FALSE),MISC!A33)</f>
        <v>0</v>
      </c>
      <c r="E17" s="15" t="s">
        <v>1069</v>
      </c>
      <c r="F17" s="25" t="str">
        <f>IFERROR(VLOOKUP(E17,'BRI Insert'!A:C,3,FALSE),(VLOOKUP(E17,'Product Names BRI'!A:B,2,FALSE)))</f>
        <v>-</v>
      </c>
      <c r="G17" s="25">
        <f>IFERROR(VLOOKUP(E17,'BRI Insert'!A:D,4,FALSE),MISC!A18)</f>
        <v>0</v>
      </c>
    </row>
    <row r="18" spans="1:7" x14ac:dyDescent="0.25">
      <c r="A18" s="15" t="s">
        <v>1069</v>
      </c>
      <c r="B18" s="25" t="str">
        <f>IFERROR(VLOOKUP(A18,'BRI Insert'!A:C,3,FALSE),(VLOOKUP(A18,'Product Names BRI'!A:B,2,FALSE)))</f>
        <v>-</v>
      </c>
      <c r="C18" s="26">
        <f>IFERROR(VLOOKUP(A18,'BRI Insert'!A:D,4,FALSE),MISC!A2)</f>
        <v>0</v>
      </c>
      <c r="E18" s="15" t="s">
        <v>1069</v>
      </c>
      <c r="F18" s="25" t="str">
        <f>IFERROR(VLOOKUP(E18,'BRI Insert'!A:C,3,FALSE),(VLOOKUP(E18,'Product Names BRI'!A:B,2,FALSE)))</f>
        <v>-</v>
      </c>
      <c r="G18" s="25">
        <f>IFERROR(VLOOKUP(E18,'BRI Insert'!A:D,4,FALSE),MISC!A19)</f>
        <v>0</v>
      </c>
    </row>
    <row r="19" spans="1:7" x14ac:dyDescent="0.25">
      <c r="A19" s="15" t="s">
        <v>1069</v>
      </c>
      <c r="B19" s="25" t="str">
        <f>IFERROR(VLOOKUP(A19,'BRI Insert'!A:C,3,FALSE),(VLOOKUP(A19,'Product Names BRI'!A:B,2,FALSE)))</f>
        <v>-</v>
      </c>
      <c r="C19" s="26">
        <f>IFERROR(VLOOKUP(A19,'BRI Insert'!A:D,4,FALSE),MISC!A5)</f>
        <v>0</v>
      </c>
      <c r="E19" s="15" t="s">
        <v>1069</v>
      </c>
      <c r="F19" s="25" t="str">
        <f>IFERROR(VLOOKUP(E19,'BRI Insert'!A:C,3,FALSE),(VLOOKUP(E19,'Product Names BRI'!A:B,2,FALSE)))</f>
        <v>-</v>
      </c>
      <c r="G19" s="25">
        <f>IFERROR(VLOOKUP(E19,'BRI Insert'!A:D,4,FALSE),MISC!A26)</f>
        <v>0</v>
      </c>
    </row>
    <row r="20" spans="1:7" x14ac:dyDescent="0.25">
      <c r="A20" s="15" t="s">
        <v>1069</v>
      </c>
      <c r="B20" s="25" t="str">
        <f>IFERROR(VLOOKUP(A20,'BRI Insert'!A:C,3,FALSE),(VLOOKUP(A20,'Product Names BRI'!A:B,2,FALSE)))</f>
        <v>-</v>
      </c>
      <c r="C20" s="26">
        <f>IFERROR(VLOOKUP(A20,'BRI Insert'!A:D,4,FALSE),MISC!A22)</f>
        <v>0</v>
      </c>
      <c r="E20" s="15" t="s">
        <v>1069</v>
      </c>
      <c r="F20" s="25" t="str">
        <f>IFERROR(VLOOKUP(E20,'BRI Insert'!A:C,3,FALSE),(VLOOKUP(E20,'Product Names BRI'!A:B,2,FALSE)))</f>
        <v>-</v>
      </c>
      <c r="G20" s="25">
        <f>IFERROR(VLOOKUP(E20,'BRI Insert'!A:D,4,FALSE),MISC!A16)</f>
        <v>0</v>
      </c>
    </row>
    <row r="21" spans="1:7" x14ac:dyDescent="0.25">
      <c r="A21" s="15" t="s">
        <v>1069</v>
      </c>
      <c r="B21" s="25" t="str">
        <f>IFERROR(VLOOKUP(A21,'BRI Insert'!A:C,3,FALSE),(VLOOKUP(A21,'Product Names BRI'!A:B,2,FALSE)))</f>
        <v>-</v>
      </c>
      <c r="C21" s="26">
        <f>IFERROR(VLOOKUP(A21,'BRI Insert'!A:D,4,FALSE),MISC!A1)</f>
        <v>0</v>
      </c>
      <c r="E21" s="15" t="s">
        <v>1069</v>
      </c>
      <c r="F21" s="25" t="str">
        <f>IFERROR(VLOOKUP(E21,'BRI Insert'!A:C,3,FALSE),(VLOOKUP(E21,'Product Names BRI'!A:B,2,FALSE)))</f>
        <v>-</v>
      </c>
      <c r="G21" s="25">
        <f>IFERROR(VLOOKUP(E21,'BRI Insert'!A:D,4,FALSE),MISC!A22)</f>
        <v>0</v>
      </c>
    </row>
    <row r="22" spans="1:7" x14ac:dyDescent="0.25">
      <c r="A22" s="15" t="s">
        <v>1069</v>
      </c>
      <c r="B22" s="25" t="str">
        <f>IFERROR(VLOOKUP(A22,'BRI Insert'!A:C,3,FALSE),(VLOOKUP(A22,'Product Names BRI'!A:B,2,FALSE)))</f>
        <v>-</v>
      </c>
      <c r="C22" s="26">
        <f>IFERROR(VLOOKUP(A22,'BRI Insert'!A:D,4,FALSE),MISC!A7)</f>
        <v>0</v>
      </c>
      <c r="E22" s="15" t="s">
        <v>1069</v>
      </c>
      <c r="F22" s="25" t="str">
        <f>IFERROR(VLOOKUP(E22,'BRI Insert'!A:C,3,FALSE),(VLOOKUP(E22,'Product Names BRI'!A:B,2,FALSE)))</f>
        <v>-</v>
      </c>
      <c r="G22" s="25">
        <f>IFERROR(VLOOKUP(E22,'BRI Insert'!A:D,4,FALSE),MISC!A23)</f>
        <v>0</v>
      </c>
    </row>
    <row r="23" spans="1:7" x14ac:dyDescent="0.25">
      <c r="A23" s="15" t="s">
        <v>1069</v>
      </c>
      <c r="B23" s="25" t="str">
        <f>IFERROR(VLOOKUP(A23,'BRI Insert'!A:C,3,FALSE),(VLOOKUP(A23,'Product Names BRI'!A:B,2,FALSE)))</f>
        <v>-</v>
      </c>
      <c r="C23" s="26">
        <f>IFERROR(VLOOKUP(A23,'BRI Insert'!A:D,4,FALSE),MISC!A37)</f>
        <v>0</v>
      </c>
      <c r="E23" s="15" t="s">
        <v>1069</v>
      </c>
      <c r="F23" s="25" t="str">
        <f>IFERROR(VLOOKUP(E23,'BRI Insert'!A:C,3,FALSE),(VLOOKUP(E23,'Product Names BRI'!A:B,2,FALSE)))</f>
        <v>-</v>
      </c>
      <c r="G23" s="25">
        <f>IFERROR(VLOOKUP(E23,'BRI Insert'!A:D,4,FALSE),MISC!A24)</f>
        <v>0</v>
      </c>
    </row>
    <row r="24" spans="1:7" x14ac:dyDescent="0.25">
      <c r="A24" s="15" t="s">
        <v>1069</v>
      </c>
      <c r="B24" s="25" t="str">
        <f>IFERROR(VLOOKUP(A24,'BRI Insert'!A:C,3,FALSE),(VLOOKUP(A24,'Product Names BRI'!A:B,2,FALSE)))</f>
        <v>-</v>
      </c>
      <c r="C24" s="26">
        <f>IFERROR(VLOOKUP(A24,'BRI Insert'!A:D,4,FALSE),MISC!A38)</f>
        <v>0</v>
      </c>
      <c r="E24" s="15" t="s">
        <v>1069</v>
      </c>
      <c r="F24" s="25" t="str">
        <f>IFERROR(VLOOKUP(E24,'BRI Insert'!A:C,3,FALSE),(VLOOKUP(E24,'Product Names BRI'!A:B,2,FALSE)))</f>
        <v>-</v>
      </c>
      <c r="G24" s="25">
        <f>IFERROR(VLOOKUP(E24,'BRI Insert'!A:D,4,FALSE),MISC!A25)</f>
        <v>0</v>
      </c>
    </row>
    <row r="25" spans="1:7" x14ac:dyDescent="0.25">
      <c r="A25" s="15" t="s">
        <v>1069</v>
      </c>
      <c r="B25" s="25" t="str">
        <f>IFERROR(VLOOKUP(A25,'BRI Insert'!A:C,3,FALSE),(VLOOKUP(A25,'Product Names BRI'!A:B,2,FALSE)))</f>
        <v>-</v>
      </c>
      <c r="C25" s="26">
        <f>IFERROR(VLOOKUP(A25,'BRI Insert'!A:D,4,FALSE),MISC!A29)</f>
        <v>0</v>
      </c>
      <c r="E25" s="15" t="s">
        <v>1069</v>
      </c>
      <c r="F25" s="25" t="str">
        <f>IFERROR(VLOOKUP(E25,'BRI Insert'!A:C,3,FALSE),(VLOOKUP(E25,'Product Names BRI'!A:B,2,FALSE)))</f>
        <v>-</v>
      </c>
      <c r="G25" s="25">
        <f>IFERROR(VLOOKUP(E25,'BRI Insert'!A:D,4,FALSE),MISC!A5)</f>
        <v>0</v>
      </c>
    </row>
    <row r="26" spans="1:7" x14ac:dyDescent="0.25">
      <c r="A26" s="15" t="s">
        <v>1069</v>
      </c>
      <c r="B26" s="25" t="str">
        <f>IFERROR(VLOOKUP(A26,'BRI Insert'!A:C,3,FALSE),(VLOOKUP(A26,'Product Names BRI'!A:B,2,FALSE)))</f>
        <v>-</v>
      </c>
      <c r="C26" s="26">
        <f>IFERROR(VLOOKUP(A26,'BRI Insert'!A:D,4,FALSE),MISC!A3)</f>
        <v>0</v>
      </c>
      <c r="E26" s="15" t="s">
        <v>1069</v>
      </c>
      <c r="F26" s="25" t="str">
        <f>IFERROR(VLOOKUP(E26,'BRI Insert'!A:C,3,FALSE),(VLOOKUP(E26,'Product Names BRI'!A:B,2,FALSE)))</f>
        <v>-</v>
      </c>
      <c r="G26" s="25">
        <f>IFERROR(VLOOKUP(E26,'BRI Insert'!A:D,4,FALSE),MISC!A6)</f>
        <v>0</v>
      </c>
    </row>
    <row r="27" spans="1:7" x14ac:dyDescent="0.25">
      <c r="A27" s="15" t="s">
        <v>1069</v>
      </c>
      <c r="B27" s="25" t="str">
        <f>IFERROR(VLOOKUP(A27,'BRI Insert'!A:C,3,FALSE),(VLOOKUP(A27,'Product Names BRI'!A:B,2,FALSE)))</f>
        <v>-</v>
      </c>
      <c r="C27" s="26">
        <f>IFERROR(VLOOKUP(A27,'BRI Insert'!A:D,4,FALSE),MISC!A16)</f>
        <v>0</v>
      </c>
      <c r="E27" s="15" t="s">
        <v>1069</v>
      </c>
      <c r="F27" s="25" t="str">
        <f>IFERROR(VLOOKUP(E27,'BRI Insert'!A:C,3,FALSE),(VLOOKUP(E27,'Product Names BRI'!A:B,2,FALSE)))</f>
        <v>-</v>
      </c>
      <c r="G27" s="25">
        <f>IFERROR(VLOOKUP(E27,'BRI Insert'!A:D,4,FALSE),MISC!A3)</f>
        <v>0</v>
      </c>
    </row>
    <row r="28" spans="1:7" x14ac:dyDescent="0.25">
      <c r="A28" s="15" t="s">
        <v>1069</v>
      </c>
      <c r="B28" s="25" t="str">
        <f>IFERROR(VLOOKUP(A28,'BRI Insert'!A:C,3,FALSE),(VLOOKUP(A28,'Product Names BRI'!A:B,2,FALSE)))</f>
        <v>-</v>
      </c>
      <c r="C28" s="26">
        <f>IFERROR(VLOOKUP(A28,'BRI Insert'!A:D,4,FALSE),MISC!A30)</f>
        <v>0</v>
      </c>
      <c r="E28" s="15" t="s">
        <v>1069</v>
      </c>
      <c r="F28" s="25" t="str">
        <f>IFERROR(VLOOKUP(E28,'BRI Insert'!A:C,3,FALSE),(VLOOKUP(E28,'Product Names BRI'!A:B,2,FALSE)))</f>
        <v>-</v>
      </c>
      <c r="G28" s="25">
        <f>IFERROR(VLOOKUP(E28,'BRI Insert'!A:D,4,FALSE),MISC!A15)</f>
        <v>0</v>
      </c>
    </row>
    <row r="29" spans="1:7" x14ac:dyDescent="0.25">
      <c r="A29" s="15" t="s">
        <v>1069</v>
      </c>
      <c r="B29" s="25" t="str">
        <f>IFERROR(VLOOKUP(A29,'BRI Insert'!A:C,3,FALSE),(VLOOKUP(A29,'Product Names BRI'!A:B,2,FALSE)))</f>
        <v>-</v>
      </c>
      <c r="C29" s="26">
        <f>IFERROR(VLOOKUP(A29,'BRI Insert'!A:D,4,FALSE),MISC!A10)</f>
        <v>0</v>
      </c>
      <c r="E29" s="15" t="s">
        <v>1069</v>
      </c>
      <c r="F29" s="25" t="str">
        <f>IFERROR(VLOOKUP(E29,'BRI Insert'!A:C,3,FALSE),(VLOOKUP(E29,'Product Names BRI'!A:B,2,FALSE)))</f>
        <v>-</v>
      </c>
      <c r="G29" s="25">
        <f>IFERROR(VLOOKUP(E29,'BRI Insert'!A:D,4,FALSE),MISC!A2)</f>
        <v>0</v>
      </c>
    </row>
    <row r="30" spans="1:7" x14ac:dyDescent="0.25">
      <c r="A30" s="15" t="s">
        <v>1069</v>
      </c>
      <c r="B30" s="25" t="str">
        <f>IFERROR(VLOOKUP(A30,'BRI Insert'!A:C,3,FALSE),(VLOOKUP(A30,'Product Names BRI'!A:B,2,FALSE)))</f>
        <v>-</v>
      </c>
      <c r="C30" s="26">
        <f>IFERROR(VLOOKUP(A30,'BRI Insert'!A:D,4,FALSE),MISC!A34)</f>
        <v>0</v>
      </c>
      <c r="E30" s="15" t="s">
        <v>1069</v>
      </c>
      <c r="F30" s="25" t="str">
        <f>IFERROR(VLOOKUP(E30,'BRI Insert'!A:C,3,FALSE),(VLOOKUP(E30,'Product Names BRI'!A:B,2,FALSE)))</f>
        <v>-</v>
      </c>
      <c r="G30" s="25">
        <f>IFERROR(VLOOKUP(E30,'BRI Insert'!A:D,4,FALSE),MISC!A11)</f>
        <v>0</v>
      </c>
    </row>
    <row r="31" spans="1:7" x14ac:dyDescent="0.25">
      <c r="A31" s="15" t="s">
        <v>1069</v>
      </c>
      <c r="B31" s="25" t="str">
        <f>IFERROR(VLOOKUP(A31,'BRI Insert'!A:C,3,FALSE),(VLOOKUP(A31,'Product Names BRI'!A:B,2,FALSE)))</f>
        <v>-</v>
      </c>
      <c r="C31" s="26">
        <f>IFERROR(VLOOKUP(A31,'BRI Insert'!A:D,4,FALSE),MISC!A9)</f>
        <v>0</v>
      </c>
      <c r="E31" s="15" t="s">
        <v>1069</v>
      </c>
      <c r="F31" s="25" t="str">
        <f>IFERROR(VLOOKUP(E31,'BRI Insert'!A:C,3,FALSE),(VLOOKUP(E31,'Product Names BRI'!A:B,2,FALSE)))</f>
        <v>-</v>
      </c>
      <c r="G31" s="25">
        <f>IFERROR(VLOOKUP(E31,'BRI Insert'!A:D,4,FALSE),MISC!A37)</f>
        <v>0</v>
      </c>
    </row>
    <row r="32" spans="1:7" x14ac:dyDescent="0.25">
      <c r="A32" s="15" t="s">
        <v>1069</v>
      </c>
      <c r="B32" s="25" t="str">
        <f>IFERROR(VLOOKUP(A32,'BRI Insert'!A:C,3,FALSE),(VLOOKUP(A32,'Product Names BRI'!A:B,2,FALSE)))</f>
        <v>-</v>
      </c>
      <c r="C32" s="26">
        <f>IFERROR(VLOOKUP(A32,'BRI Insert'!A:D,4,FALSE),MISC!A28)</f>
        <v>0</v>
      </c>
      <c r="E32" s="15" t="s">
        <v>1069</v>
      </c>
      <c r="F32" s="25" t="str">
        <f>IFERROR(VLOOKUP(E32,'BRI Insert'!A:C,3,FALSE),(VLOOKUP(E32,'Product Names BRI'!A:B,2,FALSE)))</f>
        <v>-</v>
      </c>
      <c r="G32" s="25">
        <f>IFERROR(VLOOKUP(E32,'BRI Insert'!A:D,4,FALSE),MISC!A38)</f>
        <v>0</v>
      </c>
    </row>
    <row r="33" spans="1:7" x14ac:dyDescent="0.25">
      <c r="A33" s="15" t="s">
        <v>1069</v>
      </c>
      <c r="B33" s="25" t="str">
        <f>IFERROR(VLOOKUP(A33,'BRI Insert'!A:C,3,FALSE),(VLOOKUP(A33,'Product Names BRI'!A:B,2,FALSE)))</f>
        <v>-</v>
      </c>
      <c r="C33" s="26">
        <f>IFERROR(VLOOKUP(A33,'BRI Insert'!A:D,4,FALSE),MISC!A14)</f>
        <v>0</v>
      </c>
      <c r="E33" s="15" t="s">
        <v>1069</v>
      </c>
      <c r="F33" s="25" t="str">
        <f>IFERROR(VLOOKUP(E33,'BRI Insert'!A:C,3,FALSE),(VLOOKUP(E33,'Product Names BRI'!A:B,2,FALSE)))</f>
        <v>-</v>
      </c>
      <c r="G33" s="25">
        <f>IFERROR(VLOOKUP(E33,'BRI Insert'!A:D,4,FALSE),MISC!A39)</f>
        <v>0</v>
      </c>
    </row>
    <row r="34" spans="1:7" x14ac:dyDescent="0.25">
      <c r="A34" s="15" t="s">
        <v>1069</v>
      </c>
      <c r="B34" s="25" t="str">
        <f>IFERROR(VLOOKUP(A34,'BRI Insert'!A:C,3,FALSE),(VLOOKUP(A34,'Product Names BRI'!A:B,2,FALSE)))</f>
        <v>-</v>
      </c>
      <c r="C34" s="26">
        <f>IFERROR(VLOOKUP(A34,'BRI Insert'!A:D,4,FALSE),MISC!A39)</f>
        <v>0</v>
      </c>
      <c r="E34" s="15" t="s">
        <v>1069</v>
      </c>
      <c r="F34" s="25" t="str">
        <f>IFERROR(VLOOKUP(E34,'BRI Insert'!A:C,3,FALSE),(VLOOKUP(E34,'Product Names BRI'!A:B,2,FALSE)))</f>
        <v>-</v>
      </c>
      <c r="G34" s="25">
        <f>IFERROR(VLOOKUP(E34,'BRI Insert'!A:D,4,FALSE),MISC!A27)</f>
        <v>0</v>
      </c>
    </row>
    <row r="35" spans="1:7" x14ac:dyDescent="0.25">
      <c r="A35" s="15" t="s">
        <v>1069</v>
      </c>
      <c r="B35" s="25" t="str">
        <f>IFERROR(VLOOKUP(A35,'BRI Insert'!A:C,3,FALSE),(VLOOKUP(A35,'Product Names BRI'!A:B,2,FALSE)))</f>
        <v>-</v>
      </c>
      <c r="C35" s="26">
        <f>IFERROR(VLOOKUP(A35,'BRI Insert'!A:D,4,FALSE),MISC!A32)</f>
        <v>0</v>
      </c>
      <c r="E35" s="15" t="s">
        <v>1069</v>
      </c>
      <c r="F35" s="25" t="str">
        <f>IFERROR(VLOOKUP(E35,'BRI Insert'!A:C,3,FALSE),(VLOOKUP(E35,'Product Names BRI'!A:B,2,FALSE)))</f>
        <v>-</v>
      </c>
      <c r="G35" s="25">
        <f>IFERROR(VLOOKUP(E35,'BRI Insert'!A:D,4,FALSE),MISC!A28)</f>
        <v>0</v>
      </c>
    </row>
    <row r="36" spans="1:7" x14ac:dyDescent="0.25">
      <c r="A36" s="15" t="s">
        <v>1069</v>
      </c>
      <c r="B36" s="25" t="str">
        <f>IFERROR(VLOOKUP(A36,'BRI Insert'!A:C,3,FALSE),(VLOOKUP(A36,'Product Names BRI'!A:B,2,FALSE)))</f>
        <v>-</v>
      </c>
      <c r="C36" s="26">
        <f>IFERROR(VLOOKUP(A36,'BRI Insert'!A:D,4,FALSE),MISC!A36)</f>
        <v>0</v>
      </c>
      <c r="E36" s="15" t="s">
        <v>1069</v>
      </c>
      <c r="F36" s="25" t="str">
        <f>IFERROR(VLOOKUP(E36,'BRI Insert'!A:C,3,FALSE),(VLOOKUP(E36,'Product Names BRI'!A:B,2,FALSE)))</f>
        <v>-</v>
      </c>
      <c r="G36" s="25">
        <f>IFERROR(VLOOKUP(E36,'BRI Insert'!A:D,4,FALSE),MISC!A29)</f>
        <v>0</v>
      </c>
    </row>
    <row r="37" spans="1:7" x14ac:dyDescent="0.25">
      <c r="A37" s="15" t="s">
        <v>1069</v>
      </c>
      <c r="B37" s="25" t="str">
        <f>IFERROR(VLOOKUP(A37,'BRI Insert'!A:C,3,FALSE),(VLOOKUP(A37,'Product Names BRI'!A:B,2,FALSE)))</f>
        <v>-</v>
      </c>
      <c r="C37" s="26">
        <f>IFERROR(VLOOKUP(A37,'BRI Insert'!A:D,4,FALSE),MISC!A35)</f>
        <v>0</v>
      </c>
      <c r="E37" s="15" t="s">
        <v>1069</v>
      </c>
      <c r="F37" s="25" t="str">
        <f>IFERROR(VLOOKUP(E37,'BRI Insert'!A:C,3,FALSE),(VLOOKUP(E37,'Product Names BRI'!A:B,2,FALSE)))</f>
        <v>-</v>
      </c>
      <c r="G37" s="25">
        <f>IFERROR(VLOOKUP(E37,'BRI Insert'!A:D,4,FALSE),MISC!A30)</f>
        <v>0</v>
      </c>
    </row>
    <row r="38" spans="1:7" x14ac:dyDescent="0.25">
      <c r="A38" s="15" t="s">
        <v>1069</v>
      </c>
      <c r="B38" s="25" t="str">
        <f>IFERROR(VLOOKUP(A38,'BRI Insert'!A:C,3,FALSE),(VLOOKUP(A38,'Product Names BRI'!A:B,2,FALSE)))</f>
        <v>-</v>
      </c>
      <c r="C38" s="26">
        <f>IFERROR(VLOOKUP(A38,'BRI Insert'!A:D,4,FALSE),MISC!A11)</f>
        <v>0</v>
      </c>
      <c r="E38" s="15" t="s">
        <v>1069</v>
      </c>
      <c r="F38" s="25" t="str">
        <f>IFERROR(VLOOKUP(E38,'BRI Insert'!A:C,3,FALSE),(VLOOKUP(E38,'Product Names BRI'!A:B,2,FALSE)))</f>
        <v>-</v>
      </c>
      <c r="G38" s="25">
        <f>IFERROR(VLOOKUP(E38,'BRI Insert'!A:D,4,FALSE),MISC!A31)</f>
        <v>0</v>
      </c>
    </row>
    <row r="39" spans="1:7" x14ac:dyDescent="0.25">
      <c r="A39" s="15" t="s">
        <v>1069</v>
      </c>
      <c r="B39" s="25" t="str">
        <f>IFERROR(VLOOKUP(A39,'BRI Insert'!A:C,3,FALSE),(VLOOKUP(A39,'Product Names BRI'!A:B,2,FALSE)))</f>
        <v>-</v>
      </c>
      <c r="C39" s="26">
        <f>IFERROR(VLOOKUP(A39,'BRI Insert'!A:D,4,FALSE),MISC!A17)</f>
        <v>0</v>
      </c>
      <c r="E39" s="15" t="s">
        <v>1069</v>
      </c>
      <c r="F39" s="25" t="str">
        <f>IFERROR(VLOOKUP(E39,'BRI Insert'!A:C,3,FALSE),(VLOOKUP(E39,'Product Names BRI'!A:B,2,FALSE)))</f>
        <v>-</v>
      </c>
      <c r="G39" s="25">
        <f>IFERROR(VLOOKUP(E39,'BRI Insert'!A:D,4,FALSE),MISC!A32)</f>
        <v>0</v>
      </c>
    </row>
    <row r="40" spans="1:7" x14ac:dyDescent="0.25">
      <c r="A40" s="15" t="s">
        <v>1069</v>
      </c>
      <c r="B40" s="25" t="str">
        <f>IFERROR(VLOOKUP(A40,'BRI Insert'!A:C,3,FALSE),(VLOOKUP(A40,'Product Names BRI'!A:B,2,FALSE)))</f>
        <v>-</v>
      </c>
      <c r="C40" s="26">
        <f>IFERROR(VLOOKUP(A40,'BRI Insert'!A:D,4,FALSE),MISC!A12)</f>
        <v>0</v>
      </c>
      <c r="E40" s="15" t="s">
        <v>1069</v>
      </c>
      <c r="F40" s="25" t="str">
        <f>IFERROR(VLOOKUP(E40,'BRI Insert'!A:C,3,FALSE),(VLOOKUP(E40,'Product Names BRI'!A:B,2,FALSE)))</f>
        <v>-</v>
      </c>
      <c r="G40" s="25">
        <f>IFERROR(VLOOKUP(E40,'BRI Insert'!A:D,4,FALSE),MISC!A33)</f>
        <v>0</v>
      </c>
    </row>
    <row r="41" spans="1:7" x14ac:dyDescent="0.25">
      <c r="A41" s="15" t="s">
        <v>1069</v>
      </c>
      <c r="B41" s="25" t="str">
        <f>IFERROR(VLOOKUP(A41,'BRI Insert'!A:C,3,FALSE),(VLOOKUP(A41,'Product Names BRI'!A:B,2,FALSE)))</f>
        <v>-</v>
      </c>
      <c r="C41" s="26">
        <f>IFERROR(VLOOKUP(A41,'BRI Insert'!A:D,4,FALSE),MISC!A23)</f>
        <v>0</v>
      </c>
      <c r="E41" s="15" t="s">
        <v>1069</v>
      </c>
      <c r="F41" s="25" t="str">
        <f>IFERROR(VLOOKUP(E41,'BRI Insert'!A:C,3,FALSE),(VLOOKUP(E41,'Product Names BRI'!A:B,2,FALSE)))</f>
        <v>-</v>
      </c>
      <c r="G41" s="25">
        <f>IFERROR(VLOOKUP(E41,'BRI Insert'!A:D,4,FALSE),MISC!A34)</f>
        <v>0</v>
      </c>
    </row>
    <row r="42" spans="1:7" x14ac:dyDescent="0.25">
      <c r="A42" s="15" t="s">
        <v>1069</v>
      </c>
      <c r="B42" s="25" t="str">
        <f>IFERROR(VLOOKUP(A42,'BRI Insert'!A:C,3,FALSE),(VLOOKUP(A42,'Product Names BRI'!A:B,2,FALSE)))</f>
        <v>-</v>
      </c>
      <c r="C42" s="26">
        <f>IFERROR(VLOOKUP(A42,'BRI Insert'!A:D,4,FALSE),MISC!A24)</f>
        <v>0</v>
      </c>
      <c r="E42" s="15" t="s">
        <v>1069</v>
      </c>
      <c r="F42" s="25" t="str">
        <f>IFERROR(VLOOKUP(E42,'BRI Insert'!A:C,3,FALSE),(VLOOKUP(E42,'Product Names BRI'!A:B,2,FALSE)))</f>
        <v>-</v>
      </c>
      <c r="G42" s="25">
        <f>IFERROR(VLOOKUP(E42,'BRI Insert'!A:D,4,FALSE),MISC!A35)</f>
        <v>0</v>
      </c>
    </row>
    <row r="43" spans="1:7" x14ac:dyDescent="0.25">
      <c r="A43" s="15" t="s">
        <v>1069</v>
      </c>
      <c r="B43" s="25" t="str">
        <f>IFERROR(VLOOKUP(A43,'BRI Insert'!A:C,3,FALSE),(VLOOKUP(A43,'Product Names BRI'!A:B,2,FALSE)))</f>
        <v>-</v>
      </c>
      <c r="C43" s="26">
        <f>IFERROR(VLOOKUP(A43,'BRI Insert'!A:D,4,FALSE),MISC!A26)</f>
        <v>0</v>
      </c>
      <c r="E43" s="15" t="s">
        <v>1069</v>
      </c>
      <c r="F43" s="25" t="str">
        <f>IFERROR(VLOOKUP(E43,'BRI Insert'!A:C,3,FALSE),(VLOOKUP(E43,'Product Names BRI'!A:B,2,FALSE)))</f>
        <v>-</v>
      </c>
      <c r="G43" s="25">
        <f>IFERROR(VLOOKUP(E43,'BRI Insert'!A:D,4,FALSE),MISC!A36)</f>
        <v>0</v>
      </c>
    </row>
  </sheetData>
  <pageMargins left="0.4" right="0.25" top="0.75" bottom="0.75" header="0.3" footer="0.3"/>
  <pageSetup orientation="portrait" horizont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43"/>
  <sheetViews>
    <sheetView workbookViewId="0">
      <selection activeCell="A5" sqref="A5:A35"/>
    </sheetView>
  </sheetViews>
  <sheetFormatPr defaultRowHeight="15" x14ac:dyDescent="0.25"/>
  <cols>
    <col min="1" max="1" width="7.5703125" customWidth="1"/>
    <col min="2" max="2" width="31.28515625" customWidth="1"/>
    <col min="3" max="3" width="7" customWidth="1"/>
    <col min="4" max="4" width="5.42578125" customWidth="1"/>
    <col min="6" max="6" width="31.42578125" customWidth="1"/>
    <col min="7" max="7" width="7.85546875" customWidth="1"/>
  </cols>
  <sheetData>
    <row r="1" spans="1:7" ht="44.25" x14ac:dyDescent="0.25">
      <c r="A1" s="30" t="s">
        <v>1099</v>
      </c>
      <c r="F1" s="3"/>
      <c r="G1" s="3"/>
    </row>
    <row r="2" spans="1:7" ht="24.75" x14ac:dyDescent="0.25">
      <c r="B2" s="2"/>
      <c r="C2" s="2"/>
      <c r="D2" s="2"/>
      <c r="E2" s="4"/>
      <c r="F2" s="3"/>
      <c r="G2" s="3"/>
    </row>
    <row r="3" spans="1:7" ht="20.25" thickBot="1" x14ac:dyDescent="0.3">
      <c r="A3" s="22" t="s">
        <v>861</v>
      </c>
      <c r="B3" s="23" t="s">
        <v>919</v>
      </c>
      <c r="C3" s="24" t="s">
        <v>0</v>
      </c>
      <c r="E3" s="22" t="s">
        <v>861</v>
      </c>
      <c r="F3" s="23" t="s">
        <v>919</v>
      </c>
      <c r="G3" s="24" t="s">
        <v>0</v>
      </c>
    </row>
    <row r="4" spans="1:7" x14ac:dyDescent="0.25">
      <c r="A4" s="3"/>
      <c r="B4" s="3"/>
      <c r="C4" s="3"/>
    </row>
    <row r="5" spans="1:7" x14ac:dyDescent="0.25">
      <c r="A5" s="15" t="s">
        <v>1069</v>
      </c>
      <c r="B5" s="25" t="str">
        <f>IFERROR(VLOOKUP(A5,'BRI Insert'!A:C,3,FALSE),(VLOOKUP(A5,'Product Names BRI'!A:B,2,FALSE)))</f>
        <v>-</v>
      </c>
      <c r="C5" s="26">
        <f>IFERROR(VLOOKUP(A5,'BRI Insert'!A:D,4,FALSE),MISC!A20)</f>
        <v>0</v>
      </c>
      <c r="E5" s="15" t="s">
        <v>1069</v>
      </c>
      <c r="F5" s="25" t="str">
        <f>IFERROR(VLOOKUP(E5,'BRI Insert'!A:C,3,FALSE),(VLOOKUP(E5,'Product Names BRI'!A:B,2,FALSE)))</f>
        <v>-</v>
      </c>
      <c r="G5" s="25">
        <f>IFERROR(VLOOKUP(E5,'BRI Insert'!A:D,4,FALSE),MISC!A1)</f>
        <v>0</v>
      </c>
    </row>
    <row r="6" spans="1:7" x14ac:dyDescent="0.25">
      <c r="A6" s="15" t="s">
        <v>1069</v>
      </c>
      <c r="B6" s="25" t="str">
        <f>IFERROR(VLOOKUP(A6,'BRI Insert'!A:C,3,FALSE),(VLOOKUP(A6,'Product Names BRI'!A:B,2,FALSE)))</f>
        <v>-</v>
      </c>
      <c r="C6" s="26">
        <f>IFERROR(VLOOKUP(A6,'BRI Insert'!A:D,4,FALSE),MISC!A25)</f>
        <v>0</v>
      </c>
      <c r="E6" s="15" t="s">
        <v>1069</v>
      </c>
      <c r="F6" s="25" t="str">
        <f>IFERROR(VLOOKUP(E6,'BRI Insert'!A:C,3,FALSE),(VLOOKUP(E6,'Product Names BRI'!A:B,2,FALSE)))</f>
        <v>-</v>
      </c>
      <c r="G6" s="25">
        <f>IFERROR(VLOOKUP(E6,'BRI Insert'!A:D,4,FALSE),MISC!A13)</f>
        <v>0</v>
      </c>
    </row>
    <row r="7" spans="1:7" x14ac:dyDescent="0.25">
      <c r="A7" s="15" t="s">
        <v>1069</v>
      </c>
      <c r="B7" s="25" t="str">
        <f>IFERROR(VLOOKUP(A7,'BRI Insert'!A:C,3,FALSE),(VLOOKUP(A7,'Product Names BRI'!A:B,2,FALSE)))</f>
        <v>-</v>
      </c>
      <c r="C7" s="26">
        <f>IFERROR(VLOOKUP(A7,'BRI Insert'!A:D,4,FALSE),MISC!A21)</f>
        <v>0</v>
      </c>
      <c r="E7" s="15" t="s">
        <v>1069</v>
      </c>
      <c r="F7" s="25" t="str">
        <f>IFERROR(VLOOKUP(E7,'BRI Insert'!A:C,3,FALSE),(VLOOKUP(E7,'Product Names BRI'!A:B,2,FALSE)))</f>
        <v>-</v>
      </c>
      <c r="G7" s="25">
        <f>IFERROR(VLOOKUP(E7,'BRI Insert'!A:D,4,FALSE),MISC!A14)</f>
        <v>0</v>
      </c>
    </row>
    <row r="8" spans="1:7" x14ac:dyDescent="0.25">
      <c r="A8" s="15" t="s">
        <v>1069</v>
      </c>
      <c r="B8" s="25" t="str">
        <f>IFERROR(VLOOKUP(A8,'BRI Insert'!A:C,3,FALSE),(VLOOKUP(A8,'Product Names BRI'!A:B,2,FALSE)))</f>
        <v>-</v>
      </c>
      <c r="C8" s="26">
        <f>IFERROR(VLOOKUP(A8,'BRI Insert'!A:D,4,FALSE),MISC!A13)</f>
        <v>0</v>
      </c>
      <c r="E8" s="15" t="s">
        <v>1069</v>
      </c>
      <c r="F8" s="25" t="str">
        <f>IFERROR(VLOOKUP(E8,'BRI Insert'!A:C,3,FALSE),(VLOOKUP(E8,'Product Names BRI'!A:B,2,FALSE)))</f>
        <v>-</v>
      </c>
      <c r="G8" s="25">
        <f>IFERROR(VLOOKUP(E8,'BRI Insert'!A:D,4,FALSE),MISC!A12)</f>
        <v>0</v>
      </c>
    </row>
    <row r="9" spans="1:7" x14ac:dyDescent="0.25">
      <c r="A9" s="15" t="s">
        <v>1069</v>
      </c>
      <c r="B9" s="25" t="str">
        <f>IFERROR(VLOOKUP(A9,'BRI Insert'!A:C,3,FALSE),(VLOOKUP(A9,'Product Names BRI'!A:B,2,FALSE)))</f>
        <v>-</v>
      </c>
      <c r="C9" s="26">
        <f>IFERROR(VLOOKUP(A9,'BRI Insert'!A:D,4,FALSE),MISC!A27)</f>
        <v>0</v>
      </c>
      <c r="E9" s="15" t="s">
        <v>1069</v>
      </c>
      <c r="F9" s="25" t="str">
        <f>IFERROR(VLOOKUP(E9,'BRI Insert'!A:C,3,FALSE),(VLOOKUP(E9,'Product Names BRI'!A:B,2,FALSE)))</f>
        <v>-</v>
      </c>
      <c r="G9" s="25">
        <f>IFERROR(VLOOKUP(E9,'BRI Insert'!A:D,4,FALSE),MISC!A8)</f>
        <v>0</v>
      </c>
    </row>
    <row r="10" spans="1:7" x14ac:dyDescent="0.25">
      <c r="A10" s="34" t="s">
        <v>1069</v>
      </c>
      <c r="B10" s="25" t="str">
        <f>IFERROR(VLOOKUP(A10,'BRI Insert'!A:C,3,FALSE),(VLOOKUP(A10,'Product Names BRI'!A:B,2,FALSE)))</f>
        <v>-</v>
      </c>
      <c r="C10" s="26">
        <f>IFERROR(VLOOKUP(A10,'BRI Insert'!A:D,4,FALSE),MISC!A4)</f>
        <v>0</v>
      </c>
      <c r="E10" s="15" t="s">
        <v>1069</v>
      </c>
      <c r="F10" s="25" t="str">
        <f>IFERROR(VLOOKUP(E10,'BRI Insert'!A:C,3,FALSE),(VLOOKUP(E10,'Product Names BRI'!A:B,2,FALSE)))</f>
        <v>-</v>
      </c>
      <c r="G10" s="25">
        <f>IFERROR(VLOOKUP(E10,'BRI Insert'!A:D,4,FALSE),MISC!A10)</f>
        <v>0</v>
      </c>
    </row>
    <row r="11" spans="1:7" x14ac:dyDescent="0.25">
      <c r="A11" s="15" t="s">
        <v>1069</v>
      </c>
      <c r="B11" s="25" t="str">
        <f>IFERROR(VLOOKUP(A11,'BRI Insert'!A:C,3,FALSE),(VLOOKUP(A11,'Product Names BRI'!A:B,2,FALSE)))</f>
        <v>-</v>
      </c>
      <c r="C11" s="26">
        <f>IFERROR(VLOOKUP(A11,'BRI Insert'!A:D,4,FALSE),MISC!A8)</f>
        <v>0</v>
      </c>
      <c r="E11" s="15" t="s">
        <v>1069</v>
      </c>
      <c r="F11" s="25" t="str">
        <f>IFERROR(VLOOKUP(E11,'BRI Insert'!A:C,3,FALSE),(VLOOKUP(E11,'Product Names BRI'!A:B,2,FALSE)))</f>
        <v>-</v>
      </c>
      <c r="G11" s="25">
        <f>IFERROR(VLOOKUP(E11,'BRI Insert'!A:D,4,FALSE),MISC!A4)</f>
        <v>0</v>
      </c>
    </row>
    <row r="12" spans="1:7" x14ac:dyDescent="0.25">
      <c r="A12" s="15" t="s">
        <v>1069</v>
      </c>
      <c r="B12" s="25" t="str">
        <f>IFERROR(VLOOKUP(A12,'BRI Insert'!A:C,3,FALSE),(VLOOKUP(A12,'Product Names BRI'!A:B,2,FALSE)))</f>
        <v>-</v>
      </c>
      <c r="C12" s="26">
        <f>IFERROR(VLOOKUP(A12,'BRI Insert'!A:D,4,FALSE),MISC!A19)</f>
        <v>0</v>
      </c>
      <c r="E12" s="15" t="s">
        <v>1069</v>
      </c>
      <c r="F12" s="25" t="str">
        <f>IFERROR(VLOOKUP(E12,'BRI Insert'!A:C,3,FALSE),(VLOOKUP(E12,'Product Names BRI'!A:B,2,FALSE)))</f>
        <v>-</v>
      </c>
      <c r="G12" s="25">
        <f>IFERROR(VLOOKUP(E12,'BRI Insert'!A:D,4,FALSE),MISC!A7)</f>
        <v>0</v>
      </c>
    </row>
    <row r="13" spans="1:7" x14ac:dyDescent="0.25">
      <c r="A13" s="15" t="s">
        <v>1069</v>
      </c>
      <c r="B13" s="25" t="str">
        <f>IFERROR(VLOOKUP(A13,'BRI Insert'!A:C,3,FALSE),(VLOOKUP(A13,'Product Names BRI'!A:B,2,FALSE)))</f>
        <v>-</v>
      </c>
      <c r="C13" s="26">
        <f>IFERROR(VLOOKUP(A13,'BRI Insert'!A:D,4,FALSE),MISC!A31)</f>
        <v>0</v>
      </c>
      <c r="E13" s="15" t="s">
        <v>1069</v>
      </c>
      <c r="F13" s="25" t="str">
        <f>IFERROR(VLOOKUP(E13,'BRI Insert'!A:C,3,FALSE),(VLOOKUP(E13,'Product Names BRI'!A:B,2,FALSE)))</f>
        <v>-</v>
      </c>
      <c r="G13" s="25">
        <f>IFERROR(VLOOKUP(E13,'BRI Insert'!A:D,4,FALSE),MISC!A20)</f>
        <v>0</v>
      </c>
    </row>
    <row r="14" spans="1:7" x14ac:dyDescent="0.25">
      <c r="A14" s="15" t="s">
        <v>1069</v>
      </c>
      <c r="B14" s="25" t="str">
        <f>IFERROR(VLOOKUP(A14,'BRI Insert'!A:C,3,FALSE),(VLOOKUP(A14,'Product Names BRI'!A:B,2,FALSE)))</f>
        <v>-</v>
      </c>
      <c r="C14" s="26">
        <f>IFERROR(VLOOKUP(A14,'BRI Insert'!A:D,4,FALSE),MISC!A15)</f>
        <v>0</v>
      </c>
      <c r="E14" s="15" t="s">
        <v>1069</v>
      </c>
      <c r="F14" s="25" t="str">
        <f>IFERROR(VLOOKUP(E14,'BRI Insert'!A:C,3,FALSE),(VLOOKUP(E14,'Product Names BRI'!A:B,2,FALSE)))</f>
        <v>-</v>
      </c>
      <c r="G14" s="25">
        <f>IFERROR(VLOOKUP(E14,'BRI Insert'!A:D,4,FALSE),MISC!A21)</f>
        <v>0</v>
      </c>
    </row>
    <row r="15" spans="1:7" x14ac:dyDescent="0.25">
      <c r="A15" s="15" t="s">
        <v>1069</v>
      </c>
      <c r="B15" s="25" t="str">
        <f>IFERROR(VLOOKUP(A15,'BRI Insert'!A:C,3,FALSE),(VLOOKUP(A15,'Product Names BRI'!A:B,2,FALSE)))</f>
        <v>-</v>
      </c>
      <c r="C15" s="26">
        <f>IFERROR(VLOOKUP(A15,'BRI Insert'!A:D,4,FALSE),MISC!A18)</f>
        <v>0</v>
      </c>
      <c r="E15" s="15" t="s">
        <v>1069</v>
      </c>
      <c r="F15" s="25" t="str">
        <f>IFERROR(VLOOKUP(E15,'BRI Insert'!A:C,3,FALSE),(VLOOKUP(E15,'Product Names BRI'!A:B,2,FALSE)))</f>
        <v>-</v>
      </c>
      <c r="G15" s="25">
        <f>IFERROR(VLOOKUP(E15,'BRI Insert'!A:D,4,FALSE),MISC!A9)</f>
        <v>0</v>
      </c>
    </row>
    <row r="16" spans="1:7" x14ac:dyDescent="0.25">
      <c r="A16" s="15" t="s">
        <v>1069</v>
      </c>
      <c r="B16" s="25" t="str">
        <f>IFERROR(VLOOKUP(A16,'BRI Insert'!A:C,3,FALSE),(VLOOKUP(A16,'Product Names BRI'!A:B,2,FALSE)))</f>
        <v>-</v>
      </c>
      <c r="C16" s="26">
        <f>IFERROR(VLOOKUP(A16,'BRI Insert'!A:D,4,FALSE),MISC!A6)</f>
        <v>0</v>
      </c>
      <c r="E16" s="15" t="s">
        <v>1069</v>
      </c>
      <c r="F16" s="25" t="str">
        <f>IFERROR(VLOOKUP(E16,'BRI Insert'!A:C,3,FALSE),(VLOOKUP(E16,'Product Names BRI'!A:B,2,FALSE)))</f>
        <v>-</v>
      </c>
      <c r="G16" s="25">
        <f>IFERROR(VLOOKUP(E16,'BRI Insert'!A:D,4,FALSE),MISC!A17)</f>
        <v>0</v>
      </c>
    </row>
    <row r="17" spans="1:7" x14ac:dyDescent="0.25">
      <c r="A17" s="15" t="s">
        <v>1069</v>
      </c>
      <c r="B17" s="25" t="str">
        <f>IFERROR(VLOOKUP(A17,'BRI Insert'!A:C,3,FALSE),(VLOOKUP(A17,'Product Names BRI'!A:B,2,FALSE)))</f>
        <v>-</v>
      </c>
      <c r="C17" s="26">
        <f>IFERROR(VLOOKUP(A17,'BRI Insert'!A:D,4,FALSE),MISC!A33)</f>
        <v>0</v>
      </c>
      <c r="E17" s="15" t="s">
        <v>1069</v>
      </c>
      <c r="F17" s="25" t="str">
        <f>IFERROR(VLOOKUP(E17,'BRI Insert'!A:C,3,FALSE),(VLOOKUP(E17,'Product Names BRI'!A:B,2,FALSE)))</f>
        <v>-</v>
      </c>
      <c r="G17" s="25">
        <f>IFERROR(VLOOKUP(E17,'BRI Insert'!A:D,4,FALSE),MISC!A18)</f>
        <v>0</v>
      </c>
    </row>
    <row r="18" spans="1:7" x14ac:dyDescent="0.25">
      <c r="A18" s="15" t="s">
        <v>1069</v>
      </c>
      <c r="B18" s="25" t="str">
        <f>IFERROR(VLOOKUP(A18,'BRI Insert'!A:C,3,FALSE),(VLOOKUP(A18,'Product Names BRI'!A:B,2,FALSE)))</f>
        <v>-</v>
      </c>
      <c r="C18" s="26">
        <f>IFERROR(VLOOKUP(A18,'BRI Insert'!A:D,4,FALSE),MISC!A2)</f>
        <v>0</v>
      </c>
      <c r="E18" s="15" t="s">
        <v>1069</v>
      </c>
      <c r="F18" s="25" t="str">
        <f>IFERROR(VLOOKUP(E18,'BRI Insert'!A:C,3,FALSE),(VLOOKUP(E18,'Product Names BRI'!A:B,2,FALSE)))</f>
        <v>-</v>
      </c>
      <c r="G18" s="25">
        <f>IFERROR(VLOOKUP(E18,'BRI Insert'!A:D,4,FALSE),MISC!A19)</f>
        <v>0</v>
      </c>
    </row>
    <row r="19" spans="1:7" x14ac:dyDescent="0.25">
      <c r="A19" s="15" t="s">
        <v>1069</v>
      </c>
      <c r="B19" s="25" t="str">
        <f>IFERROR(VLOOKUP(A19,'BRI Insert'!A:C,3,FALSE),(VLOOKUP(A19,'Product Names BRI'!A:B,2,FALSE)))</f>
        <v>-</v>
      </c>
      <c r="C19" s="26">
        <f>IFERROR(VLOOKUP(A19,'BRI Insert'!A:D,4,FALSE),MISC!A5)</f>
        <v>0</v>
      </c>
      <c r="E19" s="15" t="s">
        <v>1069</v>
      </c>
      <c r="F19" s="25" t="str">
        <f>IFERROR(VLOOKUP(E19,'BRI Insert'!A:C,3,FALSE),(VLOOKUP(E19,'Product Names BRI'!A:B,2,FALSE)))</f>
        <v>-</v>
      </c>
      <c r="G19" s="25">
        <f>IFERROR(VLOOKUP(E19,'BRI Insert'!A:D,4,FALSE),MISC!A26)</f>
        <v>0</v>
      </c>
    </row>
    <row r="20" spans="1:7" x14ac:dyDescent="0.25">
      <c r="A20" s="15" t="s">
        <v>1069</v>
      </c>
      <c r="B20" s="25" t="str">
        <f>IFERROR(VLOOKUP(A20,'BRI Insert'!A:C,3,FALSE),(VLOOKUP(A20,'Product Names BRI'!A:B,2,FALSE)))</f>
        <v>-</v>
      </c>
      <c r="C20" s="26">
        <f>IFERROR(VLOOKUP(A20,'BRI Insert'!A:D,4,FALSE),MISC!A22)</f>
        <v>0</v>
      </c>
      <c r="E20" s="15" t="s">
        <v>1069</v>
      </c>
      <c r="F20" s="25" t="str">
        <f>IFERROR(VLOOKUP(E20,'BRI Insert'!A:C,3,FALSE),(VLOOKUP(E20,'Product Names BRI'!A:B,2,FALSE)))</f>
        <v>-</v>
      </c>
      <c r="G20" s="25">
        <f>IFERROR(VLOOKUP(E20,'BRI Insert'!A:D,4,FALSE),MISC!A16)</f>
        <v>0</v>
      </c>
    </row>
    <row r="21" spans="1:7" x14ac:dyDescent="0.25">
      <c r="A21" s="15" t="s">
        <v>1069</v>
      </c>
      <c r="B21" s="25" t="str">
        <f>IFERROR(VLOOKUP(A21,'BRI Insert'!A:C,3,FALSE),(VLOOKUP(A21,'Product Names BRI'!A:B,2,FALSE)))</f>
        <v>-</v>
      </c>
      <c r="C21" s="26">
        <f>IFERROR(VLOOKUP(A21,'BRI Insert'!A:D,4,FALSE),MISC!A1)</f>
        <v>0</v>
      </c>
      <c r="E21" s="15" t="s">
        <v>1069</v>
      </c>
      <c r="F21" s="25" t="str">
        <f>IFERROR(VLOOKUP(E21,'BRI Insert'!A:C,3,FALSE),(VLOOKUP(E21,'Product Names BRI'!A:B,2,FALSE)))</f>
        <v>-</v>
      </c>
      <c r="G21" s="25">
        <f>IFERROR(VLOOKUP(E21,'BRI Insert'!A:D,4,FALSE),MISC!A22)</f>
        <v>0</v>
      </c>
    </row>
    <row r="22" spans="1:7" x14ac:dyDescent="0.25">
      <c r="A22" s="15" t="s">
        <v>1069</v>
      </c>
      <c r="B22" s="25" t="str">
        <f>IFERROR(VLOOKUP(A22,'BRI Insert'!A:C,3,FALSE),(VLOOKUP(A22,'Product Names BRI'!A:B,2,FALSE)))</f>
        <v>-</v>
      </c>
      <c r="C22" s="26">
        <f>IFERROR(VLOOKUP(A22,'BRI Insert'!A:D,4,FALSE),MISC!A7)</f>
        <v>0</v>
      </c>
      <c r="E22" s="15" t="s">
        <v>1069</v>
      </c>
      <c r="F22" s="25" t="str">
        <f>IFERROR(VLOOKUP(E22,'BRI Insert'!A:C,3,FALSE),(VLOOKUP(E22,'Product Names BRI'!A:B,2,FALSE)))</f>
        <v>-</v>
      </c>
      <c r="G22" s="25">
        <f>IFERROR(VLOOKUP(E22,'BRI Insert'!A:D,4,FALSE),MISC!A23)</f>
        <v>0</v>
      </c>
    </row>
    <row r="23" spans="1:7" x14ac:dyDescent="0.25">
      <c r="A23" s="15" t="s">
        <v>1069</v>
      </c>
      <c r="B23" s="25" t="str">
        <f>IFERROR(VLOOKUP(A23,'BRI Insert'!A:C,3,FALSE),(VLOOKUP(A23,'Product Names BRI'!A:B,2,FALSE)))</f>
        <v>-</v>
      </c>
      <c r="C23" s="26">
        <f>IFERROR(VLOOKUP(A23,'BRI Insert'!A:D,4,FALSE),MISC!A37)</f>
        <v>0</v>
      </c>
      <c r="E23" s="15" t="s">
        <v>1069</v>
      </c>
      <c r="F23" s="25" t="str">
        <f>IFERROR(VLOOKUP(E23,'BRI Insert'!A:C,3,FALSE),(VLOOKUP(E23,'Product Names BRI'!A:B,2,FALSE)))</f>
        <v>-</v>
      </c>
      <c r="G23" s="25">
        <f>IFERROR(VLOOKUP(E23,'BRI Insert'!A:D,4,FALSE),MISC!A24)</f>
        <v>0</v>
      </c>
    </row>
    <row r="24" spans="1:7" x14ac:dyDescent="0.25">
      <c r="A24" s="15" t="s">
        <v>1069</v>
      </c>
      <c r="B24" s="25" t="str">
        <f>IFERROR(VLOOKUP(A24,'BRI Insert'!A:C,3,FALSE),(VLOOKUP(A24,'Product Names BRI'!A:B,2,FALSE)))</f>
        <v>-</v>
      </c>
      <c r="C24" s="26">
        <f>IFERROR(VLOOKUP(A24,'BRI Insert'!A:D,4,FALSE),MISC!A38)</f>
        <v>0</v>
      </c>
      <c r="E24" s="15" t="s">
        <v>1069</v>
      </c>
      <c r="F24" s="25" t="str">
        <f>IFERROR(VLOOKUP(E24,'BRI Insert'!A:C,3,FALSE),(VLOOKUP(E24,'Product Names BRI'!A:B,2,FALSE)))</f>
        <v>-</v>
      </c>
      <c r="G24" s="25">
        <f>IFERROR(VLOOKUP(E24,'BRI Insert'!A:D,4,FALSE),MISC!A25)</f>
        <v>0</v>
      </c>
    </row>
    <row r="25" spans="1:7" x14ac:dyDescent="0.25">
      <c r="A25" s="15" t="s">
        <v>1069</v>
      </c>
      <c r="B25" s="25" t="str">
        <f>IFERROR(VLOOKUP(A25,'BRI Insert'!A:C,3,FALSE),(VLOOKUP(A25,'Product Names BRI'!A:B,2,FALSE)))</f>
        <v>-</v>
      </c>
      <c r="C25" s="26">
        <f>IFERROR(VLOOKUP(A25,'BRI Insert'!A:D,4,FALSE),MISC!A29)</f>
        <v>0</v>
      </c>
      <c r="E25" s="15" t="s">
        <v>1069</v>
      </c>
      <c r="F25" s="25" t="str">
        <f>IFERROR(VLOOKUP(E25,'BRI Insert'!A:C,3,FALSE),(VLOOKUP(E25,'Product Names BRI'!A:B,2,FALSE)))</f>
        <v>-</v>
      </c>
      <c r="G25" s="25">
        <f>IFERROR(VLOOKUP(E25,'BRI Insert'!A:D,4,FALSE),MISC!A5)</f>
        <v>0</v>
      </c>
    </row>
    <row r="26" spans="1:7" x14ac:dyDescent="0.25">
      <c r="A26" s="15" t="s">
        <v>1069</v>
      </c>
      <c r="B26" s="25" t="str">
        <f>IFERROR(VLOOKUP(A26,'BRI Insert'!A:C,3,FALSE),(VLOOKUP(A26,'Product Names BRI'!A:B,2,FALSE)))</f>
        <v>-</v>
      </c>
      <c r="C26" s="26">
        <f>IFERROR(VLOOKUP(A26,'BRI Insert'!A:D,4,FALSE),MISC!A3)</f>
        <v>0</v>
      </c>
      <c r="E26" s="15" t="s">
        <v>1069</v>
      </c>
      <c r="F26" s="25" t="str">
        <f>IFERROR(VLOOKUP(E26,'BRI Insert'!A:C,3,FALSE),(VLOOKUP(E26,'Product Names BRI'!A:B,2,FALSE)))</f>
        <v>-</v>
      </c>
      <c r="G26" s="25">
        <f>IFERROR(VLOOKUP(E26,'BRI Insert'!A:D,4,FALSE),MISC!A6)</f>
        <v>0</v>
      </c>
    </row>
    <row r="27" spans="1:7" x14ac:dyDescent="0.25">
      <c r="A27" s="15" t="s">
        <v>1069</v>
      </c>
      <c r="B27" s="25" t="str">
        <f>IFERROR(VLOOKUP(A27,'BRI Insert'!A:C,3,FALSE),(VLOOKUP(A27,'Product Names BRI'!A:B,2,FALSE)))</f>
        <v>-</v>
      </c>
      <c r="C27" s="26">
        <f>IFERROR(VLOOKUP(A27,'BRI Insert'!A:D,4,FALSE),MISC!A16)</f>
        <v>0</v>
      </c>
      <c r="E27" s="15" t="s">
        <v>1069</v>
      </c>
      <c r="F27" s="25" t="str">
        <f>IFERROR(VLOOKUP(E27,'BRI Insert'!A:C,3,FALSE),(VLOOKUP(E27,'Product Names BRI'!A:B,2,FALSE)))</f>
        <v>-</v>
      </c>
      <c r="G27" s="25">
        <f>IFERROR(VLOOKUP(E27,'BRI Insert'!A:D,4,FALSE),MISC!A3)</f>
        <v>0</v>
      </c>
    </row>
    <row r="28" spans="1:7" x14ac:dyDescent="0.25">
      <c r="A28" s="15" t="s">
        <v>1069</v>
      </c>
      <c r="B28" s="25" t="str">
        <f>IFERROR(VLOOKUP(A28,'BRI Insert'!A:C,3,FALSE),(VLOOKUP(A28,'Product Names BRI'!A:B,2,FALSE)))</f>
        <v>-</v>
      </c>
      <c r="C28" s="26">
        <f>IFERROR(VLOOKUP(A28,'BRI Insert'!A:D,4,FALSE),MISC!A30)</f>
        <v>0</v>
      </c>
      <c r="E28" s="15" t="s">
        <v>1069</v>
      </c>
      <c r="F28" s="25" t="str">
        <f>IFERROR(VLOOKUP(E28,'BRI Insert'!A:C,3,FALSE),(VLOOKUP(E28,'Product Names BRI'!A:B,2,FALSE)))</f>
        <v>-</v>
      </c>
      <c r="G28" s="25">
        <f>IFERROR(VLOOKUP(E28,'BRI Insert'!A:D,4,FALSE),MISC!A15)</f>
        <v>0</v>
      </c>
    </row>
    <row r="29" spans="1:7" x14ac:dyDescent="0.25">
      <c r="A29" s="15" t="s">
        <v>1069</v>
      </c>
      <c r="B29" s="25" t="str">
        <f>IFERROR(VLOOKUP(A29,'BRI Insert'!A:C,3,FALSE),(VLOOKUP(A29,'Product Names BRI'!A:B,2,FALSE)))</f>
        <v>-</v>
      </c>
      <c r="C29" s="26">
        <f>IFERROR(VLOOKUP(A29,'BRI Insert'!A:D,4,FALSE),MISC!A10)</f>
        <v>0</v>
      </c>
      <c r="E29" s="15" t="s">
        <v>1069</v>
      </c>
      <c r="F29" s="25" t="str">
        <f>IFERROR(VLOOKUP(E29,'BRI Insert'!A:C,3,FALSE),(VLOOKUP(E29,'Product Names BRI'!A:B,2,FALSE)))</f>
        <v>-</v>
      </c>
      <c r="G29" s="25">
        <f>IFERROR(VLOOKUP(E29,'BRI Insert'!A:D,4,FALSE),MISC!A2)</f>
        <v>0</v>
      </c>
    </row>
    <row r="30" spans="1:7" x14ac:dyDescent="0.25">
      <c r="A30" s="15" t="s">
        <v>1069</v>
      </c>
      <c r="B30" s="25" t="str">
        <f>IFERROR(VLOOKUP(A30,'BRI Insert'!A:C,3,FALSE),(VLOOKUP(A30,'Product Names BRI'!A:B,2,FALSE)))</f>
        <v>-</v>
      </c>
      <c r="C30" s="26">
        <f>IFERROR(VLOOKUP(A30,'BRI Insert'!A:D,4,FALSE),MISC!A34)</f>
        <v>0</v>
      </c>
      <c r="E30" s="15" t="s">
        <v>1069</v>
      </c>
      <c r="F30" s="25" t="str">
        <f>IFERROR(VLOOKUP(E30,'BRI Insert'!A:C,3,FALSE),(VLOOKUP(E30,'Product Names BRI'!A:B,2,FALSE)))</f>
        <v>-</v>
      </c>
      <c r="G30" s="25">
        <f>IFERROR(VLOOKUP(E30,'BRI Insert'!A:D,4,FALSE),MISC!A11)</f>
        <v>0</v>
      </c>
    </row>
    <row r="31" spans="1:7" x14ac:dyDescent="0.25">
      <c r="A31" s="15" t="s">
        <v>1069</v>
      </c>
      <c r="B31" s="25" t="str">
        <f>IFERROR(VLOOKUP(A31,'BRI Insert'!A:C,3,FALSE),(VLOOKUP(A31,'Product Names BRI'!A:B,2,FALSE)))</f>
        <v>-</v>
      </c>
      <c r="C31" s="26">
        <f>IFERROR(VLOOKUP(A31,'BRI Insert'!A:D,4,FALSE),MISC!A9)</f>
        <v>0</v>
      </c>
      <c r="E31" s="15" t="s">
        <v>1069</v>
      </c>
      <c r="F31" s="25" t="str">
        <f>IFERROR(VLOOKUP(E31,'BRI Insert'!A:C,3,FALSE),(VLOOKUP(E31,'Product Names BRI'!A:B,2,FALSE)))</f>
        <v>-</v>
      </c>
      <c r="G31" s="25">
        <f>IFERROR(VLOOKUP(E31,'BRI Insert'!A:D,4,FALSE),MISC!A37)</f>
        <v>0</v>
      </c>
    </row>
    <row r="32" spans="1:7" x14ac:dyDescent="0.25">
      <c r="A32" s="15" t="s">
        <v>1069</v>
      </c>
      <c r="B32" s="25" t="str">
        <f>IFERROR(VLOOKUP(A32,'BRI Insert'!A:C,3,FALSE),(VLOOKUP(A32,'Product Names BRI'!A:B,2,FALSE)))</f>
        <v>-</v>
      </c>
      <c r="C32" s="26">
        <f>IFERROR(VLOOKUP(A32,'BRI Insert'!A:D,4,FALSE),MISC!A28)</f>
        <v>0</v>
      </c>
      <c r="E32" s="15" t="s">
        <v>1069</v>
      </c>
      <c r="F32" s="25" t="str">
        <f>IFERROR(VLOOKUP(E32,'BRI Insert'!A:C,3,FALSE),(VLOOKUP(E32,'Product Names BRI'!A:B,2,FALSE)))</f>
        <v>-</v>
      </c>
      <c r="G32" s="25">
        <f>IFERROR(VLOOKUP(E32,'BRI Insert'!A:D,4,FALSE),MISC!A38)</f>
        <v>0</v>
      </c>
    </row>
    <row r="33" spans="1:7" x14ac:dyDescent="0.25">
      <c r="A33" s="15" t="s">
        <v>1069</v>
      </c>
      <c r="B33" s="25" t="str">
        <f>IFERROR(VLOOKUP(A33,'BRI Insert'!A:C,3,FALSE),(VLOOKUP(A33,'Product Names BRI'!A:B,2,FALSE)))</f>
        <v>-</v>
      </c>
      <c r="C33" s="26">
        <f>IFERROR(VLOOKUP(A33,'BRI Insert'!A:D,4,FALSE),MISC!A14)</f>
        <v>0</v>
      </c>
      <c r="E33" s="15" t="s">
        <v>1069</v>
      </c>
      <c r="F33" s="25" t="str">
        <f>IFERROR(VLOOKUP(E33,'BRI Insert'!A:C,3,FALSE),(VLOOKUP(E33,'Product Names BRI'!A:B,2,FALSE)))</f>
        <v>-</v>
      </c>
      <c r="G33" s="25">
        <f>IFERROR(VLOOKUP(E33,'BRI Insert'!A:D,4,FALSE),MISC!A39)</f>
        <v>0</v>
      </c>
    </row>
    <row r="34" spans="1:7" x14ac:dyDescent="0.25">
      <c r="A34" s="15" t="s">
        <v>1069</v>
      </c>
      <c r="B34" s="25" t="str">
        <f>IFERROR(VLOOKUP(A34,'BRI Insert'!A:C,3,FALSE),(VLOOKUP(A34,'Product Names BRI'!A:B,2,FALSE)))</f>
        <v>-</v>
      </c>
      <c r="C34" s="26">
        <f>IFERROR(VLOOKUP(A34,'BRI Insert'!A:D,4,FALSE),MISC!A39)</f>
        <v>0</v>
      </c>
      <c r="E34" s="15" t="s">
        <v>1069</v>
      </c>
      <c r="F34" s="25" t="str">
        <f>IFERROR(VLOOKUP(E34,'BRI Insert'!A:C,3,FALSE),(VLOOKUP(E34,'Product Names BRI'!A:B,2,FALSE)))</f>
        <v>-</v>
      </c>
      <c r="G34" s="25">
        <f>IFERROR(VLOOKUP(E34,'BRI Insert'!A:D,4,FALSE),MISC!A27)</f>
        <v>0</v>
      </c>
    </row>
    <row r="35" spans="1:7" x14ac:dyDescent="0.25">
      <c r="A35" s="15" t="s">
        <v>1069</v>
      </c>
      <c r="B35" s="25" t="str">
        <f>IFERROR(VLOOKUP(A35,'BRI Insert'!A:C,3,FALSE),(VLOOKUP(A35,'Product Names BRI'!A:B,2,FALSE)))</f>
        <v>-</v>
      </c>
      <c r="C35" s="26">
        <f>IFERROR(VLOOKUP(A35,'BRI Insert'!A:D,4,FALSE),MISC!A32)</f>
        <v>0</v>
      </c>
      <c r="E35" s="15" t="s">
        <v>1069</v>
      </c>
      <c r="F35" s="25" t="str">
        <f>IFERROR(VLOOKUP(E35,'BRI Insert'!A:C,3,FALSE),(VLOOKUP(E35,'Product Names BRI'!A:B,2,FALSE)))</f>
        <v>-</v>
      </c>
      <c r="G35" s="25">
        <f>IFERROR(VLOOKUP(E35,'BRI Insert'!A:D,4,FALSE),MISC!A28)</f>
        <v>0</v>
      </c>
    </row>
    <row r="36" spans="1:7" x14ac:dyDescent="0.25">
      <c r="A36" s="15" t="s">
        <v>1069</v>
      </c>
      <c r="B36" s="25" t="str">
        <f>IFERROR(VLOOKUP(A36,'BRI Insert'!A:C,3,FALSE),(VLOOKUP(A36,'Product Names BRI'!A:B,2,FALSE)))</f>
        <v>-</v>
      </c>
      <c r="C36" s="26">
        <f>IFERROR(VLOOKUP(A36,'BRI Insert'!A:D,4,FALSE),MISC!A36)</f>
        <v>0</v>
      </c>
      <c r="E36" s="15" t="s">
        <v>1069</v>
      </c>
      <c r="F36" s="25" t="str">
        <f>IFERROR(VLOOKUP(E36,'BRI Insert'!A:C,3,FALSE),(VLOOKUP(E36,'Product Names BRI'!A:B,2,FALSE)))</f>
        <v>-</v>
      </c>
      <c r="G36" s="25">
        <f>IFERROR(VLOOKUP(E36,'BRI Insert'!A:D,4,FALSE),MISC!A29)</f>
        <v>0</v>
      </c>
    </row>
    <row r="37" spans="1:7" x14ac:dyDescent="0.25">
      <c r="A37" s="15" t="s">
        <v>1069</v>
      </c>
      <c r="B37" s="25" t="str">
        <f>IFERROR(VLOOKUP(A37,'BRI Insert'!A:C,3,FALSE),(VLOOKUP(A37,'Product Names BRI'!A:B,2,FALSE)))</f>
        <v>-</v>
      </c>
      <c r="C37" s="26">
        <f>IFERROR(VLOOKUP(A37,'BRI Insert'!A:D,4,FALSE),MISC!A35)</f>
        <v>0</v>
      </c>
      <c r="E37" s="15" t="s">
        <v>1069</v>
      </c>
      <c r="F37" s="25" t="str">
        <f>IFERROR(VLOOKUP(E37,'BRI Insert'!A:C,3,FALSE),(VLOOKUP(E37,'Product Names BRI'!A:B,2,FALSE)))</f>
        <v>-</v>
      </c>
      <c r="G37" s="25">
        <f>IFERROR(VLOOKUP(E37,'BRI Insert'!A:D,4,FALSE),MISC!A30)</f>
        <v>0</v>
      </c>
    </row>
    <row r="38" spans="1:7" x14ac:dyDescent="0.25">
      <c r="A38" s="15" t="s">
        <v>1069</v>
      </c>
      <c r="B38" s="25" t="str">
        <f>IFERROR(VLOOKUP(A38,'BRI Insert'!A:C,3,FALSE),(VLOOKUP(A38,'Product Names BRI'!A:B,2,FALSE)))</f>
        <v>-</v>
      </c>
      <c r="C38" s="26">
        <f>IFERROR(VLOOKUP(A38,'BRI Insert'!A:D,4,FALSE),MISC!A11)</f>
        <v>0</v>
      </c>
      <c r="E38" s="15" t="s">
        <v>1069</v>
      </c>
      <c r="F38" s="25" t="str">
        <f>IFERROR(VLOOKUP(E38,'BRI Insert'!A:C,3,FALSE),(VLOOKUP(E38,'Product Names BRI'!A:B,2,FALSE)))</f>
        <v>-</v>
      </c>
      <c r="G38" s="25">
        <f>IFERROR(VLOOKUP(E38,'BRI Insert'!A:D,4,FALSE),MISC!A31)</f>
        <v>0</v>
      </c>
    </row>
    <row r="39" spans="1:7" x14ac:dyDescent="0.25">
      <c r="A39" s="15" t="s">
        <v>1069</v>
      </c>
      <c r="B39" s="25" t="str">
        <f>IFERROR(VLOOKUP(A39,'BRI Insert'!A:C,3,FALSE),(VLOOKUP(A39,'Product Names BRI'!A:B,2,FALSE)))</f>
        <v>-</v>
      </c>
      <c r="C39" s="26">
        <f>IFERROR(VLOOKUP(A39,'BRI Insert'!A:D,4,FALSE),MISC!A17)</f>
        <v>0</v>
      </c>
      <c r="E39" s="15" t="s">
        <v>1069</v>
      </c>
      <c r="F39" s="25" t="str">
        <f>IFERROR(VLOOKUP(E39,'BRI Insert'!A:C,3,FALSE),(VLOOKUP(E39,'Product Names BRI'!A:B,2,FALSE)))</f>
        <v>-</v>
      </c>
      <c r="G39" s="25">
        <f>IFERROR(VLOOKUP(E39,'BRI Insert'!A:D,4,FALSE),MISC!A32)</f>
        <v>0</v>
      </c>
    </row>
    <row r="40" spans="1:7" x14ac:dyDescent="0.25">
      <c r="A40" s="15" t="s">
        <v>1069</v>
      </c>
      <c r="B40" s="25" t="str">
        <f>IFERROR(VLOOKUP(A40,'BRI Insert'!A:C,3,FALSE),(VLOOKUP(A40,'Product Names BRI'!A:B,2,FALSE)))</f>
        <v>-</v>
      </c>
      <c r="C40" s="26">
        <f>IFERROR(VLOOKUP(A40,'BRI Insert'!A:D,4,FALSE),MISC!A12)</f>
        <v>0</v>
      </c>
      <c r="E40" s="15" t="s">
        <v>1069</v>
      </c>
      <c r="F40" s="25" t="str">
        <f>IFERROR(VLOOKUP(E40,'BRI Insert'!A:C,3,FALSE),(VLOOKUP(E40,'Product Names BRI'!A:B,2,FALSE)))</f>
        <v>-</v>
      </c>
      <c r="G40" s="25">
        <f>IFERROR(VLOOKUP(E40,'BRI Insert'!A:D,4,FALSE),MISC!A33)</f>
        <v>0</v>
      </c>
    </row>
    <row r="41" spans="1:7" x14ac:dyDescent="0.25">
      <c r="A41" s="15" t="s">
        <v>1069</v>
      </c>
      <c r="B41" s="25" t="str">
        <f>IFERROR(VLOOKUP(A41,'BRI Insert'!A:C,3,FALSE),(VLOOKUP(A41,'Product Names BRI'!A:B,2,FALSE)))</f>
        <v>-</v>
      </c>
      <c r="C41" s="26">
        <f>IFERROR(VLOOKUP(A41,'BRI Insert'!A:D,4,FALSE),MISC!A23)</f>
        <v>0</v>
      </c>
      <c r="E41" s="15" t="s">
        <v>1069</v>
      </c>
      <c r="F41" s="25" t="str">
        <f>IFERROR(VLOOKUP(E41,'BRI Insert'!A:C,3,FALSE),(VLOOKUP(E41,'Product Names BRI'!A:B,2,FALSE)))</f>
        <v>-</v>
      </c>
      <c r="G41" s="25">
        <f>IFERROR(VLOOKUP(E41,'BRI Insert'!A:D,4,FALSE),MISC!A34)</f>
        <v>0</v>
      </c>
    </row>
    <row r="42" spans="1:7" x14ac:dyDescent="0.25">
      <c r="A42" s="15" t="s">
        <v>1069</v>
      </c>
      <c r="B42" s="25" t="str">
        <f>IFERROR(VLOOKUP(A42,'BRI Insert'!A:C,3,FALSE),(VLOOKUP(A42,'Product Names BRI'!A:B,2,FALSE)))</f>
        <v>-</v>
      </c>
      <c r="C42" s="26">
        <f>IFERROR(VLOOKUP(A42,'BRI Insert'!A:D,4,FALSE),MISC!A24)</f>
        <v>0</v>
      </c>
      <c r="E42" s="15" t="s">
        <v>1069</v>
      </c>
      <c r="F42" s="25" t="str">
        <f>IFERROR(VLOOKUP(E42,'BRI Insert'!A:C,3,FALSE),(VLOOKUP(E42,'Product Names BRI'!A:B,2,FALSE)))</f>
        <v>-</v>
      </c>
      <c r="G42" s="25">
        <f>IFERROR(VLOOKUP(E42,'BRI Insert'!A:D,4,FALSE),MISC!A35)</f>
        <v>0</v>
      </c>
    </row>
    <row r="43" spans="1:7" x14ac:dyDescent="0.25">
      <c r="A43" s="15" t="s">
        <v>1069</v>
      </c>
      <c r="B43" s="25" t="str">
        <f>IFERROR(VLOOKUP(A43,'BRI Insert'!A:C,3,FALSE),(VLOOKUP(A43,'Product Names BRI'!A:B,2,FALSE)))</f>
        <v>-</v>
      </c>
      <c r="C43" s="26">
        <f>IFERROR(VLOOKUP(A43,'BRI Insert'!A:D,4,FALSE),MISC!A26)</f>
        <v>0</v>
      </c>
      <c r="E43" s="15" t="s">
        <v>1069</v>
      </c>
      <c r="F43" s="25" t="str">
        <f>IFERROR(VLOOKUP(E43,'BRI Insert'!A:C,3,FALSE),(VLOOKUP(E43,'Product Names BRI'!A:B,2,FALSE)))</f>
        <v>-</v>
      </c>
      <c r="G43" s="25">
        <f>IFERROR(VLOOKUP(E43,'BRI Insert'!A:D,4,FALSE),MISC!A36)</f>
        <v>0</v>
      </c>
    </row>
  </sheetData>
  <pageMargins left="0.4" right="0.25" top="0.75" bottom="0.75" header="0.3" footer="0.3"/>
  <pageSetup orientation="portrait" horizont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43"/>
  <sheetViews>
    <sheetView workbookViewId="0">
      <selection activeCell="A5" sqref="A5:A35"/>
    </sheetView>
  </sheetViews>
  <sheetFormatPr defaultRowHeight="15" x14ac:dyDescent="0.25"/>
  <cols>
    <col min="1" max="1" width="7.5703125" customWidth="1"/>
    <col min="2" max="2" width="31.28515625" customWidth="1"/>
    <col min="3" max="3" width="7" customWidth="1"/>
    <col min="4" max="4" width="5.42578125" customWidth="1"/>
    <col min="6" max="6" width="31.42578125" customWidth="1"/>
    <col min="7" max="7" width="7.85546875" customWidth="1"/>
  </cols>
  <sheetData>
    <row r="1" spans="1:7" ht="44.25" x14ac:dyDescent="0.25">
      <c r="A1" s="30" t="s">
        <v>1100</v>
      </c>
      <c r="F1" s="3"/>
      <c r="G1" s="3"/>
    </row>
    <row r="2" spans="1:7" ht="24.75" x14ac:dyDescent="0.25">
      <c r="B2" s="2"/>
      <c r="C2" s="2"/>
      <c r="D2" s="2"/>
      <c r="E2" s="4"/>
      <c r="F2" s="3"/>
      <c r="G2" s="3"/>
    </row>
    <row r="3" spans="1:7" ht="20.25" thickBot="1" x14ac:dyDescent="0.3">
      <c r="A3" s="22" t="s">
        <v>861</v>
      </c>
      <c r="B3" s="23" t="s">
        <v>919</v>
      </c>
      <c r="C3" s="24" t="s">
        <v>0</v>
      </c>
      <c r="E3" s="22" t="s">
        <v>861</v>
      </c>
      <c r="F3" s="23" t="s">
        <v>919</v>
      </c>
      <c r="G3" s="24" t="s">
        <v>0</v>
      </c>
    </row>
    <row r="4" spans="1:7" x14ac:dyDescent="0.25">
      <c r="A4" s="3"/>
      <c r="B4" s="3"/>
      <c r="C4" s="3"/>
    </row>
    <row r="5" spans="1:7" x14ac:dyDescent="0.25">
      <c r="A5" s="15">
        <v>1013</v>
      </c>
      <c r="B5" s="25" t="str">
        <f>IFERROR(VLOOKUP(A5,'BRI Insert'!A:C,3,FALSE),(VLOOKUP(A5,'Product Names BRI'!A:B,2,FALSE)))</f>
        <v>MOLASSES BLACK STRAP</v>
      </c>
      <c r="C5" s="26">
        <f>IFERROR(VLOOKUP(A5,'BRI Insert'!A:D,4,FALSE),MISC!A20)</f>
        <v>0</v>
      </c>
      <c r="E5" s="15">
        <v>1026</v>
      </c>
      <c r="F5" s="25" t="str">
        <f>IFERROR(VLOOKUP(E5,'BRI Insert'!A:C,3,FALSE),(VLOOKUP(E5,'Product Names BRI'!A:B,2,FALSE)))</f>
        <v>APPLE BUTTER UNSWEETENED</v>
      </c>
      <c r="G5" s="25">
        <f>IFERROR(VLOOKUP(E5,'BRI Insert'!A:D,4,FALSE),MISC!A1)</f>
        <v>0</v>
      </c>
    </row>
    <row r="6" spans="1:7" x14ac:dyDescent="0.25">
      <c r="A6" s="15">
        <v>1085</v>
      </c>
      <c r="B6" s="25" t="str">
        <f>IFERROR(VLOOKUP(A6,'BRI Insert'!A:C,3,FALSE),(VLOOKUP(A6,'Product Names BRI'!A:B,2,FALSE)))</f>
        <v>FANCY TABLE MOLASSES</v>
      </c>
      <c r="C6" s="26">
        <f>IFERROR(VLOOKUP(A6,'BRI Insert'!A:D,4,FALSE),MISC!A25)</f>
        <v>0</v>
      </c>
      <c r="E6" s="15">
        <v>1023</v>
      </c>
      <c r="F6" s="25" t="str">
        <f>IFERROR(VLOOKUP(E6,'BRI Insert'!A:C,3,FALSE),(VLOOKUP(E6,'Product Names BRI'!A:B,2,FALSE)))</f>
        <v>TAHINI SESAME SEED BUTTER</v>
      </c>
      <c r="G6" s="25">
        <f>IFERROR(VLOOKUP(E6,'BRI Insert'!A:D,4,FALSE),MISC!A13)</f>
        <v>0</v>
      </c>
    </row>
    <row r="7" spans="1:7" x14ac:dyDescent="0.25">
      <c r="A7" s="15">
        <v>1050</v>
      </c>
      <c r="B7" s="25" t="str">
        <f>IFERROR(VLOOKUP(A7,'BRI Insert'!A:C,3,FALSE),(VLOOKUP(A7,'Product Names BRI'!A:B,2,FALSE)))</f>
        <v>WHITE BUTTERCRM ICING</v>
      </c>
      <c r="C7" s="26">
        <f>IFERROR(VLOOKUP(A7,'BRI Insert'!A:D,4,FALSE),MISC!A21)</f>
        <v>0</v>
      </c>
      <c r="E7" s="15" t="s">
        <v>1069</v>
      </c>
      <c r="F7" s="25" t="str">
        <f>IFERROR(VLOOKUP(E7,'BRI Insert'!A:C,3,FALSE),(VLOOKUP(E7,'Product Names BRI'!A:B,2,FALSE)))</f>
        <v>-</v>
      </c>
      <c r="G7" s="25">
        <f>IFERROR(VLOOKUP(E7,'BRI Insert'!A:D,4,FALSE),MISC!A14)</f>
        <v>0</v>
      </c>
    </row>
    <row r="8" spans="1:7" x14ac:dyDescent="0.25">
      <c r="A8" s="15">
        <v>2317</v>
      </c>
      <c r="B8" s="25" t="str">
        <f>IFERROR(VLOOKUP(A8,'BRI Insert'!A:C,3,FALSE),(VLOOKUP(A8,'Product Names BRI'!A:B,2,FALSE)))</f>
        <v>VIRGIN ORGANIC COCONUT OIL</v>
      </c>
      <c r="C8" s="26">
        <f>IFERROR(VLOOKUP(A8,'BRI Insert'!A:D,4,FALSE),MISC!A13)</f>
        <v>0</v>
      </c>
      <c r="E8" s="15" t="s">
        <v>1069</v>
      </c>
      <c r="F8" s="25" t="str">
        <f>IFERROR(VLOOKUP(E8,'BRI Insert'!A:C,3,FALSE),(VLOOKUP(E8,'Product Names BRI'!A:B,2,FALSE)))</f>
        <v>-</v>
      </c>
      <c r="G8" s="25">
        <f>IFERROR(VLOOKUP(E8,'BRI Insert'!A:D,4,FALSE),MISC!A12)</f>
        <v>0</v>
      </c>
    </row>
    <row r="9" spans="1:7" x14ac:dyDescent="0.25">
      <c r="A9" s="15">
        <v>1049</v>
      </c>
      <c r="B9" s="25" t="str">
        <f>IFERROR(VLOOKUP(A9,'BRI Insert'!A:C,3,FALSE),(VLOOKUP(A9,'Product Names BRI'!A:B,2,FALSE)))</f>
        <v>HIGH RATIO SHORTENING</v>
      </c>
      <c r="C9" s="26">
        <f>IFERROR(VLOOKUP(A9,'BRI Insert'!A:D,4,FALSE),MISC!A27)</f>
        <v>0.5</v>
      </c>
      <c r="E9" s="15" t="s">
        <v>1069</v>
      </c>
      <c r="F9" s="25" t="str">
        <f>IFERROR(VLOOKUP(E9,'BRI Insert'!A:C,3,FALSE),(VLOOKUP(E9,'Product Names BRI'!A:B,2,FALSE)))</f>
        <v>-</v>
      </c>
      <c r="G9" s="25">
        <f>IFERROR(VLOOKUP(E9,'BRI Insert'!A:D,4,FALSE),MISC!A8)</f>
        <v>0</v>
      </c>
    </row>
    <row r="10" spans="1:7" x14ac:dyDescent="0.25">
      <c r="A10" s="34">
        <v>1016</v>
      </c>
      <c r="B10" s="25" t="str">
        <f>IFERROR(VLOOKUP(A10,'BRI Insert'!A:C,3,FALSE),(VLOOKUP(A10,'Product Names BRI'!A:B,2,FALSE)))</f>
        <v>ALMOND BUTTER SMOOTH</v>
      </c>
      <c r="C10" s="26">
        <f>IFERROR(VLOOKUP(A10,'BRI Insert'!A:D,4,FALSE),MISC!A4)</f>
        <v>0</v>
      </c>
      <c r="E10" s="15" t="s">
        <v>1069</v>
      </c>
      <c r="F10" s="25" t="str">
        <f>IFERROR(VLOOKUP(E10,'BRI Insert'!A:C,3,FALSE),(VLOOKUP(E10,'Product Names BRI'!A:B,2,FALSE)))</f>
        <v>-</v>
      </c>
      <c r="G10" s="25">
        <f>IFERROR(VLOOKUP(E10,'BRI Insert'!A:D,4,FALSE),MISC!A10)</f>
        <v>0</v>
      </c>
    </row>
    <row r="11" spans="1:7" x14ac:dyDescent="0.25">
      <c r="A11" s="15">
        <v>2699</v>
      </c>
      <c r="B11" s="25" t="str">
        <f>IFERROR(VLOOKUP(A11,'BRI Insert'!A:C,3,FALSE),(VLOOKUP(A11,'Product Names BRI'!A:B,2,FALSE)))</f>
        <v>ORGANIC PUMPKIN SEED BUTTER</v>
      </c>
      <c r="C11" s="26">
        <f>IFERROR(VLOOKUP(A11,'BRI Insert'!A:D,4,FALSE),MISC!A8)</f>
        <v>0</v>
      </c>
      <c r="E11" s="15" t="s">
        <v>1069</v>
      </c>
      <c r="F11" s="25" t="str">
        <f>IFERROR(VLOOKUP(E11,'BRI Insert'!A:C,3,FALSE),(VLOOKUP(E11,'Product Names BRI'!A:B,2,FALSE)))</f>
        <v>-</v>
      </c>
      <c r="G11" s="25">
        <f>IFERROR(VLOOKUP(E11,'BRI Insert'!A:D,4,FALSE),MISC!A4)</f>
        <v>0</v>
      </c>
    </row>
    <row r="12" spans="1:7" x14ac:dyDescent="0.25">
      <c r="A12" s="15">
        <v>1018</v>
      </c>
      <c r="B12" s="25" t="str">
        <f>IFERROR(VLOOKUP(A12,'BRI Insert'!A:C,3,FALSE),(VLOOKUP(A12,'Product Names BRI'!A:B,2,FALSE)))</f>
        <v>CASHEW BUTTER (SMOOTH)</v>
      </c>
      <c r="C12" s="26">
        <f>IFERROR(VLOOKUP(A12,'BRI Insert'!A:D,4,FALSE),MISC!A19)</f>
        <v>0</v>
      </c>
      <c r="E12" s="15" t="s">
        <v>1069</v>
      </c>
      <c r="F12" s="25" t="str">
        <f>IFERROR(VLOOKUP(E12,'BRI Insert'!A:C,3,FALSE),(VLOOKUP(E12,'Product Names BRI'!A:B,2,FALSE)))</f>
        <v>-</v>
      </c>
      <c r="G12" s="25">
        <f>IFERROR(VLOOKUP(E12,'BRI Insert'!A:D,4,FALSE),MISC!A7)</f>
        <v>0</v>
      </c>
    </row>
    <row r="13" spans="1:7" x14ac:dyDescent="0.25">
      <c r="A13" s="15">
        <v>1019</v>
      </c>
      <c r="B13" s="25" t="str">
        <f>IFERROR(VLOOKUP(A13,'BRI Insert'!A:C,3,FALSE),(VLOOKUP(A13,'Product Names BRI'!A:B,2,FALSE)))</f>
        <v>ORGANIC NAT.SMOOTH PEANT BUTTR</v>
      </c>
      <c r="C13" s="26">
        <f>IFERROR(VLOOKUP(A13,'BRI Insert'!A:D,4,FALSE),MISC!A31)</f>
        <v>0</v>
      </c>
      <c r="E13" s="15" t="s">
        <v>1069</v>
      </c>
      <c r="F13" s="25" t="str">
        <f>IFERROR(VLOOKUP(E13,'BRI Insert'!A:C,3,FALSE),(VLOOKUP(E13,'Product Names BRI'!A:B,2,FALSE)))</f>
        <v>-</v>
      </c>
      <c r="G13" s="25">
        <f>IFERROR(VLOOKUP(E13,'BRI Insert'!A:D,4,FALSE),MISC!A20)</f>
        <v>0</v>
      </c>
    </row>
    <row r="14" spans="1:7" x14ac:dyDescent="0.25">
      <c r="A14" s="15">
        <v>1004</v>
      </c>
      <c r="B14" s="25" t="str">
        <f>IFERROR(VLOOKUP(A14,'BRI Insert'!A:C,3,FALSE),(VLOOKUP(A14,'Product Names BRI'!A:B,2,FALSE)))</f>
        <v>SMOOTH NAT. PEANUT BUTTER</v>
      </c>
      <c r="C14" s="26">
        <f>IFERROR(VLOOKUP(A14,'BRI Insert'!A:D,4,FALSE),MISC!A15)</f>
        <v>0</v>
      </c>
      <c r="E14" s="15" t="s">
        <v>1069</v>
      </c>
      <c r="F14" s="25" t="str">
        <f>IFERROR(VLOOKUP(E14,'BRI Insert'!A:C,3,FALSE),(VLOOKUP(E14,'Product Names BRI'!A:B,2,FALSE)))</f>
        <v>-</v>
      </c>
      <c r="G14" s="25">
        <f>IFERROR(VLOOKUP(E14,'BRI Insert'!A:D,4,FALSE),MISC!A21)</f>
        <v>0</v>
      </c>
    </row>
    <row r="15" spans="1:7" x14ac:dyDescent="0.25">
      <c r="A15" s="15">
        <v>1005</v>
      </c>
      <c r="B15" s="25" t="str">
        <f>IFERROR(VLOOKUP(A15,'BRI Insert'!A:C,3,FALSE),(VLOOKUP(A15,'Product Names BRI'!A:B,2,FALSE)))</f>
        <v>CRUNCHY NAT PEANUT BUTTER</v>
      </c>
      <c r="C15" s="26">
        <f>IFERROR(VLOOKUP(A15,'BRI Insert'!A:D,4,FALSE),MISC!A18)</f>
        <v>0</v>
      </c>
      <c r="E15" s="15" t="s">
        <v>1069</v>
      </c>
      <c r="F15" s="25" t="str">
        <f>IFERROR(VLOOKUP(E15,'BRI Insert'!A:C,3,FALSE),(VLOOKUP(E15,'Product Names BRI'!A:B,2,FALSE)))</f>
        <v>-</v>
      </c>
      <c r="G15" s="25">
        <f>IFERROR(VLOOKUP(E15,'BRI Insert'!A:D,4,FALSE),MISC!A9)</f>
        <v>0</v>
      </c>
    </row>
    <row r="16" spans="1:7" x14ac:dyDescent="0.25">
      <c r="A16" s="15">
        <v>1006</v>
      </c>
      <c r="B16" s="25" t="str">
        <f>IFERROR(VLOOKUP(A16,'BRI Insert'!A:C,3,FALSE),(VLOOKUP(A16,'Product Names BRI'!A:B,2,FALSE)))</f>
        <v>SMOOTH REG PEANUT BUTTER</v>
      </c>
      <c r="C16" s="26">
        <f>IFERROR(VLOOKUP(A16,'BRI Insert'!A:D,4,FALSE),MISC!A6)</f>
        <v>0</v>
      </c>
      <c r="E16" s="15" t="s">
        <v>1069</v>
      </c>
      <c r="F16" s="25" t="str">
        <f>IFERROR(VLOOKUP(E16,'BRI Insert'!A:C,3,FALSE),(VLOOKUP(E16,'Product Names BRI'!A:B,2,FALSE)))</f>
        <v>-</v>
      </c>
      <c r="G16" s="25">
        <f>IFERROR(VLOOKUP(E16,'BRI Insert'!A:D,4,FALSE),MISC!A17)</f>
        <v>0</v>
      </c>
    </row>
    <row r="17" spans="1:7" x14ac:dyDescent="0.25">
      <c r="A17" s="15">
        <v>2928</v>
      </c>
      <c r="B17" s="25" t="str">
        <f>IFERROR(VLOOKUP(A17,'BRI Insert'!A:C,3,FALSE),(VLOOKUP(A17,'Product Names BRI'!A:B,2,FALSE)))</f>
        <v>PECAN PEANUT BUTTER</v>
      </c>
      <c r="C17" s="26">
        <f>IFERROR(VLOOKUP(A17,'BRI Insert'!A:D,4,FALSE),MISC!A33)</f>
        <v>0</v>
      </c>
      <c r="E17" s="15" t="s">
        <v>1069</v>
      </c>
      <c r="F17" s="25" t="str">
        <f>IFERROR(VLOOKUP(E17,'BRI Insert'!A:C,3,FALSE),(VLOOKUP(E17,'Product Names BRI'!A:B,2,FALSE)))</f>
        <v>-</v>
      </c>
      <c r="G17" s="25">
        <f>IFERROR(VLOOKUP(E17,'BRI Insert'!A:D,4,FALSE),MISC!A18)</f>
        <v>0</v>
      </c>
    </row>
    <row r="18" spans="1:7" x14ac:dyDescent="0.25">
      <c r="A18" s="15">
        <v>1030</v>
      </c>
      <c r="B18" s="25" t="str">
        <f>IFERROR(VLOOKUP(A18,'BRI Insert'!A:C,3,FALSE),(VLOOKUP(A18,'Product Names BRI'!A:B,2,FALSE)))</f>
        <v>SUNFLOWER SEED BUTTER NATURAL</v>
      </c>
      <c r="C18" s="26">
        <f>IFERROR(VLOOKUP(A18,'BRI Insert'!A:D,4,FALSE),MISC!A2)</f>
        <v>0</v>
      </c>
      <c r="E18" s="15" t="s">
        <v>1069</v>
      </c>
      <c r="F18" s="25" t="str">
        <f>IFERROR(VLOOKUP(E18,'BRI Insert'!A:C,3,FALSE),(VLOOKUP(E18,'Product Names BRI'!A:B,2,FALSE)))</f>
        <v>-</v>
      </c>
      <c r="G18" s="25">
        <f>IFERROR(VLOOKUP(E18,'BRI Insert'!A:D,4,FALSE),MISC!A19)</f>
        <v>0</v>
      </c>
    </row>
    <row r="19" spans="1:7" x14ac:dyDescent="0.25">
      <c r="A19" s="15" t="s">
        <v>1069</v>
      </c>
      <c r="B19" s="25" t="str">
        <f>IFERROR(VLOOKUP(A19,'BRI Insert'!A:C,3,FALSE),(VLOOKUP(A19,'Product Names BRI'!A:B,2,FALSE)))</f>
        <v>-</v>
      </c>
      <c r="C19" s="26">
        <f>IFERROR(VLOOKUP(A19,'BRI Insert'!A:D,4,FALSE),MISC!A5)</f>
        <v>0</v>
      </c>
      <c r="E19" s="15" t="s">
        <v>1069</v>
      </c>
      <c r="F19" s="25" t="str">
        <f>IFERROR(VLOOKUP(E19,'BRI Insert'!A:C,3,FALSE),(VLOOKUP(E19,'Product Names BRI'!A:B,2,FALSE)))</f>
        <v>-</v>
      </c>
      <c r="G19" s="25">
        <f>IFERROR(VLOOKUP(E19,'BRI Insert'!A:D,4,FALSE),MISC!A26)</f>
        <v>0</v>
      </c>
    </row>
    <row r="20" spans="1:7" x14ac:dyDescent="0.25">
      <c r="A20" s="15" t="s">
        <v>1069</v>
      </c>
      <c r="B20" s="25" t="str">
        <f>IFERROR(VLOOKUP(A20,'BRI Insert'!A:C,3,FALSE),(VLOOKUP(A20,'Product Names BRI'!A:B,2,FALSE)))</f>
        <v>-</v>
      </c>
      <c r="C20" s="26">
        <f>IFERROR(VLOOKUP(A20,'BRI Insert'!A:D,4,FALSE),MISC!A22)</f>
        <v>0</v>
      </c>
      <c r="E20" s="15" t="s">
        <v>1069</v>
      </c>
      <c r="F20" s="25" t="str">
        <f>IFERROR(VLOOKUP(E20,'BRI Insert'!A:C,3,FALSE),(VLOOKUP(E20,'Product Names BRI'!A:B,2,FALSE)))</f>
        <v>-</v>
      </c>
      <c r="G20" s="25">
        <f>IFERROR(VLOOKUP(E20,'BRI Insert'!A:D,4,FALSE),MISC!A16)</f>
        <v>0</v>
      </c>
    </row>
    <row r="21" spans="1:7" x14ac:dyDescent="0.25">
      <c r="A21" s="15" t="s">
        <v>1069</v>
      </c>
      <c r="B21" s="25" t="str">
        <f>IFERROR(VLOOKUP(A21,'BRI Insert'!A:C,3,FALSE),(VLOOKUP(A21,'Product Names BRI'!A:B,2,FALSE)))</f>
        <v>-</v>
      </c>
      <c r="C21" s="26">
        <f>IFERROR(VLOOKUP(A21,'BRI Insert'!A:D,4,FALSE),MISC!A1)</f>
        <v>0</v>
      </c>
      <c r="E21" s="15" t="s">
        <v>1069</v>
      </c>
      <c r="F21" s="25" t="str">
        <f>IFERROR(VLOOKUP(E21,'BRI Insert'!A:C,3,FALSE),(VLOOKUP(E21,'Product Names BRI'!A:B,2,FALSE)))</f>
        <v>-</v>
      </c>
      <c r="G21" s="25">
        <f>IFERROR(VLOOKUP(E21,'BRI Insert'!A:D,4,FALSE),MISC!A22)</f>
        <v>0</v>
      </c>
    </row>
    <row r="22" spans="1:7" x14ac:dyDescent="0.25">
      <c r="A22" s="15" t="s">
        <v>1069</v>
      </c>
      <c r="B22" s="25" t="str">
        <f>IFERROR(VLOOKUP(A22,'BRI Insert'!A:C,3,FALSE),(VLOOKUP(A22,'Product Names BRI'!A:B,2,FALSE)))</f>
        <v>-</v>
      </c>
      <c r="C22" s="26">
        <f>IFERROR(VLOOKUP(A22,'BRI Insert'!A:D,4,FALSE),MISC!A7)</f>
        <v>0</v>
      </c>
      <c r="E22" s="15" t="s">
        <v>1069</v>
      </c>
      <c r="F22" s="25" t="str">
        <f>IFERROR(VLOOKUP(E22,'BRI Insert'!A:C,3,FALSE),(VLOOKUP(E22,'Product Names BRI'!A:B,2,FALSE)))</f>
        <v>-</v>
      </c>
      <c r="G22" s="25">
        <f>IFERROR(VLOOKUP(E22,'BRI Insert'!A:D,4,FALSE),MISC!A23)</f>
        <v>0</v>
      </c>
    </row>
    <row r="23" spans="1:7" x14ac:dyDescent="0.25">
      <c r="A23" s="15" t="s">
        <v>1069</v>
      </c>
      <c r="B23" s="25" t="str">
        <f>IFERROR(VLOOKUP(A23,'BRI Insert'!A:C,3,FALSE),(VLOOKUP(A23,'Product Names BRI'!A:B,2,FALSE)))</f>
        <v>-</v>
      </c>
      <c r="C23" s="26">
        <f>IFERROR(VLOOKUP(A23,'BRI Insert'!A:D,4,FALSE),MISC!A37)</f>
        <v>0</v>
      </c>
      <c r="E23" s="15" t="s">
        <v>1069</v>
      </c>
      <c r="F23" s="25" t="str">
        <f>IFERROR(VLOOKUP(E23,'BRI Insert'!A:C,3,FALSE),(VLOOKUP(E23,'Product Names BRI'!A:B,2,FALSE)))</f>
        <v>-</v>
      </c>
      <c r="G23" s="25">
        <f>IFERROR(VLOOKUP(E23,'BRI Insert'!A:D,4,FALSE),MISC!A24)</f>
        <v>0</v>
      </c>
    </row>
    <row r="24" spans="1:7" x14ac:dyDescent="0.25">
      <c r="A24" s="15" t="s">
        <v>1069</v>
      </c>
      <c r="B24" s="25" t="str">
        <f>IFERROR(VLOOKUP(A24,'BRI Insert'!A:C,3,FALSE),(VLOOKUP(A24,'Product Names BRI'!A:B,2,FALSE)))</f>
        <v>-</v>
      </c>
      <c r="C24" s="26">
        <f>IFERROR(VLOOKUP(A24,'BRI Insert'!A:D,4,FALSE),MISC!A38)</f>
        <v>0</v>
      </c>
      <c r="E24" s="15" t="s">
        <v>1069</v>
      </c>
      <c r="F24" s="25" t="str">
        <f>IFERROR(VLOOKUP(E24,'BRI Insert'!A:C,3,FALSE),(VLOOKUP(E24,'Product Names BRI'!A:B,2,FALSE)))</f>
        <v>-</v>
      </c>
      <c r="G24" s="25">
        <f>IFERROR(VLOOKUP(E24,'BRI Insert'!A:D,4,FALSE),MISC!A25)</f>
        <v>0</v>
      </c>
    </row>
    <row r="25" spans="1:7" x14ac:dyDescent="0.25">
      <c r="A25" s="15" t="s">
        <v>1069</v>
      </c>
      <c r="B25" s="25" t="str">
        <f>IFERROR(VLOOKUP(A25,'BRI Insert'!A:C,3,FALSE),(VLOOKUP(A25,'Product Names BRI'!A:B,2,FALSE)))</f>
        <v>-</v>
      </c>
      <c r="C25" s="26">
        <f>IFERROR(VLOOKUP(A25,'BRI Insert'!A:D,4,FALSE),MISC!A29)</f>
        <v>0</v>
      </c>
      <c r="E25" s="15" t="s">
        <v>1069</v>
      </c>
      <c r="F25" s="25" t="str">
        <f>IFERROR(VLOOKUP(E25,'BRI Insert'!A:C,3,FALSE),(VLOOKUP(E25,'Product Names BRI'!A:B,2,FALSE)))</f>
        <v>-</v>
      </c>
      <c r="G25" s="25">
        <f>IFERROR(VLOOKUP(E25,'BRI Insert'!A:D,4,FALSE),MISC!A5)</f>
        <v>0</v>
      </c>
    </row>
    <row r="26" spans="1:7" x14ac:dyDescent="0.25">
      <c r="A26" s="15" t="s">
        <v>1069</v>
      </c>
      <c r="B26" s="25" t="str">
        <f>IFERROR(VLOOKUP(A26,'BRI Insert'!A:C,3,FALSE),(VLOOKUP(A26,'Product Names BRI'!A:B,2,FALSE)))</f>
        <v>-</v>
      </c>
      <c r="C26" s="26">
        <f>IFERROR(VLOOKUP(A26,'BRI Insert'!A:D,4,FALSE),MISC!A3)</f>
        <v>0</v>
      </c>
      <c r="E26" s="15" t="s">
        <v>1069</v>
      </c>
      <c r="F26" s="25" t="str">
        <f>IFERROR(VLOOKUP(E26,'BRI Insert'!A:C,3,FALSE),(VLOOKUP(E26,'Product Names BRI'!A:B,2,FALSE)))</f>
        <v>-</v>
      </c>
      <c r="G26" s="25">
        <f>IFERROR(VLOOKUP(E26,'BRI Insert'!A:D,4,FALSE),MISC!A6)</f>
        <v>0</v>
      </c>
    </row>
    <row r="27" spans="1:7" x14ac:dyDescent="0.25">
      <c r="A27" s="15" t="s">
        <v>1069</v>
      </c>
      <c r="B27" s="25" t="str">
        <f>IFERROR(VLOOKUP(A27,'BRI Insert'!A:C,3,FALSE),(VLOOKUP(A27,'Product Names BRI'!A:B,2,FALSE)))</f>
        <v>-</v>
      </c>
      <c r="C27" s="26">
        <f>IFERROR(VLOOKUP(A27,'BRI Insert'!A:D,4,FALSE),MISC!A16)</f>
        <v>0</v>
      </c>
      <c r="E27" s="15" t="s">
        <v>1069</v>
      </c>
      <c r="F27" s="25" t="str">
        <f>IFERROR(VLOOKUP(E27,'BRI Insert'!A:C,3,FALSE),(VLOOKUP(E27,'Product Names BRI'!A:B,2,FALSE)))</f>
        <v>-</v>
      </c>
      <c r="G27" s="25">
        <f>IFERROR(VLOOKUP(E27,'BRI Insert'!A:D,4,FALSE),MISC!A3)</f>
        <v>0</v>
      </c>
    </row>
    <row r="28" spans="1:7" x14ac:dyDescent="0.25">
      <c r="A28" s="15" t="s">
        <v>1069</v>
      </c>
      <c r="B28" s="25" t="str">
        <f>IFERROR(VLOOKUP(A28,'BRI Insert'!A:C,3,FALSE),(VLOOKUP(A28,'Product Names BRI'!A:B,2,FALSE)))</f>
        <v>-</v>
      </c>
      <c r="C28" s="26">
        <f>IFERROR(VLOOKUP(A28,'BRI Insert'!A:D,4,FALSE),MISC!A30)</f>
        <v>0</v>
      </c>
      <c r="E28" s="15" t="s">
        <v>1069</v>
      </c>
      <c r="F28" s="25" t="str">
        <f>IFERROR(VLOOKUP(E28,'BRI Insert'!A:C,3,FALSE),(VLOOKUP(E28,'Product Names BRI'!A:B,2,FALSE)))</f>
        <v>-</v>
      </c>
      <c r="G28" s="25">
        <f>IFERROR(VLOOKUP(E28,'BRI Insert'!A:D,4,FALSE),MISC!A15)</f>
        <v>0</v>
      </c>
    </row>
    <row r="29" spans="1:7" x14ac:dyDescent="0.25">
      <c r="A29" s="15" t="s">
        <v>1069</v>
      </c>
      <c r="B29" s="25" t="str">
        <f>IFERROR(VLOOKUP(A29,'BRI Insert'!A:C,3,FALSE),(VLOOKUP(A29,'Product Names BRI'!A:B,2,FALSE)))</f>
        <v>-</v>
      </c>
      <c r="C29" s="26">
        <f>IFERROR(VLOOKUP(A29,'BRI Insert'!A:D,4,FALSE),MISC!A10)</f>
        <v>0</v>
      </c>
      <c r="E29" s="15" t="s">
        <v>1069</v>
      </c>
      <c r="F29" s="25" t="str">
        <f>IFERROR(VLOOKUP(E29,'BRI Insert'!A:C,3,FALSE),(VLOOKUP(E29,'Product Names BRI'!A:B,2,FALSE)))</f>
        <v>-</v>
      </c>
      <c r="G29" s="25">
        <f>IFERROR(VLOOKUP(E29,'BRI Insert'!A:D,4,FALSE),MISC!A2)</f>
        <v>0</v>
      </c>
    </row>
    <row r="30" spans="1:7" x14ac:dyDescent="0.25">
      <c r="A30" s="15" t="s">
        <v>1069</v>
      </c>
      <c r="B30" s="25" t="str">
        <f>IFERROR(VLOOKUP(A30,'BRI Insert'!A:C,3,FALSE),(VLOOKUP(A30,'Product Names BRI'!A:B,2,FALSE)))</f>
        <v>-</v>
      </c>
      <c r="C30" s="26">
        <f>IFERROR(VLOOKUP(A30,'BRI Insert'!A:D,4,FALSE),MISC!A34)</f>
        <v>0</v>
      </c>
      <c r="E30" s="15" t="s">
        <v>1069</v>
      </c>
      <c r="F30" s="25" t="str">
        <f>IFERROR(VLOOKUP(E30,'BRI Insert'!A:C,3,FALSE),(VLOOKUP(E30,'Product Names BRI'!A:B,2,FALSE)))</f>
        <v>-</v>
      </c>
      <c r="G30" s="25">
        <f>IFERROR(VLOOKUP(E30,'BRI Insert'!A:D,4,FALSE),MISC!A11)</f>
        <v>0</v>
      </c>
    </row>
    <row r="31" spans="1:7" x14ac:dyDescent="0.25">
      <c r="A31" s="15" t="s">
        <v>1069</v>
      </c>
      <c r="B31" s="25" t="str">
        <f>IFERROR(VLOOKUP(A31,'BRI Insert'!A:C,3,FALSE),(VLOOKUP(A31,'Product Names BRI'!A:B,2,FALSE)))</f>
        <v>-</v>
      </c>
      <c r="C31" s="26">
        <f>IFERROR(VLOOKUP(A31,'BRI Insert'!A:D,4,FALSE),MISC!A9)</f>
        <v>0</v>
      </c>
      <c r="E31" s="15" t="s">
        <v>1069</v>
      </c>
      <c r="F31" s="25" t="str">
        <f>IFERROR(VLOOKUP(E31,'BRI Insert'!A:C,3,FALSE),(VLOOKUP(E31,'Product Names BRI'!A:B,2,FALSE)))</f>
        <v>-</v>
      </c>
      <c r="G31" s="25">
        <f>IFERROR(VLOOKUP(E31,'BRI Insert'!A:D,4,FALSE),MISC!A37)</f>
        <v>0</v>
      </c>
    </row>
    <row r="32" spans="1:7" x14ac:dyDescent="0.25">
      <c r="A32" s="15" t="s">
        <v>1069</v>
      </c>
      <c r="B32" s="25" t="str">
        <f>IFERROR(VLOOKUP(A32,'BRI Insert'!A:C,3,FALSE),(VLOOKUP(A32,'Product Names BRI'!A:B,2,FALSE)))</f>
        <v>-</v>
      </c>
      <c r="C32" s="26">
        <f>IFERROR(VLOOKUP(A32,'BRI Insert'!A:D,4,FALSE),MISC!A28)</f>
        <v>0</v>
      </c>
      <c r="E32" s="15" t="s">
        <v>1069</v>
      </c>
      <c r="F32" s="25" t="str">
        <f>IFERROR(VLOOKUP(E32,'BRI Insert'!A:C,3,FALSE),(VLOOKUP(E32,'Product Names BRI'!A:B,2,FALSE)))</f>
        <v>-</v>
      </c>
      <c r="G32" s="25">
        <f>IFERROR(VLOOKUP(E32,'BRI Insert'!A:D,4,FALSE),MISC!A38)</f>
        <v>0</v>
      </c>
    </row>
    <row r="33" spans="1:7" x14ac:dyDescent="0.25">
      <c r="A33" s="15" t="s">
        <v>1069</v>
      </c>
      <c r="B33" s="25" t="str">
        <f>IFERROR(VLOOKUP(A33,'BRI Insert'!A:C,3,FALSE),(VLOOKUP(A33,'Product Names BRI'!A:B,2,FALSE)))</f>
        <v>-</v>
      </c>
      <c r="C33" s="26">
        <f>IFERROR(VLOOKUP(A33,'BRI Insert'!A:D,4,FALSE),MISC!A14)</f>
        <v>0</v>
      </c>
      <c r="E33" s="15" t="s">
        <v>1069</v>
      </c>
      <c r="F33" s="25" t="str">
        <f>IFERROR(VLOOKUP(E33,'BRI Insert'!A:C,3,FALSE),(VLOOKUP(E33,'Product Names BRI'!A:B,2,FALSE)))</f>
        <v>-</v>
      </c>
      <c r="G33" s="25">
        <f>IFERROR(VLOOKUP(E33,'BRI Insert'!A:D,4,FALSE),MISC!A39)</f>
        <v>0</v>
      </c>
    </row>
    <row r="34" spans="1:7" x14ac:dyDescent="0.25">
      <c r="A34" s="15" t="s">
        <v>1069</v>
      </c>
      <c r="B34" s="25" t="str">
        <f>IFERROR(VLOOKUP(A34,'BRI Insert'!A:C,3,FALSE),(VLOOKUP(A34,'Product Names BRI'!A:B,2,FALSE)))</f>
        <v>-</v>
      </c>
      <c r="C34" s="26">
        <f>IFERROR(VLOOKUP(A34,'BRI Insert'!A:D,4,FALSE),MISC!A39)</f>
        <v>0</v>
      </c>
      <c r="E34" s="15" t="s">
        <v>1069</v>
      </c>
      <c r="F34" s="25" t="str">
        <f>IFERROR(VLOOKUP(E34,'BRI Insert'!A:C,3,FALSE),(VLOOKUP(E34,'Product Names BRI'!A:B,2,FALSE)))</f>
        <v>-</v>
      </c>
      <c r="G34" s="25">
        <f>IFERROR(VLOOKUP(E34,'BRI Insert'!A:D,4,FALSE),MISC!A27)</f>
        <v>0</v>
      </c>
    </row>
    <row r="35" spans="1:7" x14ac:dyDescent="0.25">
      <c r="A35" s="15" t="s">
        <v>1069</v>
      </c>
      <c r="B35" s="25" t="str">
        <f>IFERROR(VLOOKUP(A35,'BRI Insert'!A:C,3,FALSE),(VLOOKUP(A35,'Product Names BRI'!A:B,2,FALSE)))</f>
        <v>-</v>
      </c>
      <c r="C35" s="26">
        <f>IFERROR(VLOOKUP(A35,'BRI Insert'!A:D,4,FALSE),MISC!A32)</f>
        <v>0</v>
      </c>
      <c r="E35" s="15" t="s">
        <v>1069</v>
      </c>
      <c r="F35" s="25" t="str">
        <f>IFERROR(VLOOKUP(E35,'BRI Insert'!A:C,3,FALSE),(VLOOKUP(E35,'Product Names BRI'!A:B,2,FALSE)))</f>
        <v>-</v>
      </c>
      <c r="G35" s="25">
        <f>IFERROR(VLOOKUP(E35,'BRI Insert'!A:D,4,FALSE),MISC!A28)</f>
        <v>0</v>
      </c>
    </row>
    <row r="36" spans="1:7" x14ac:dyDescent="0.25">
      <c r="A36" s="15" t="s">
        <v>1069</v>
      </c>
      <c r="B36" s="25" t="str">
        <f>IFERROR(VLOOKUP(A36,'BRI Insert'!A:C,3,FALSE),(VLOOKUP(A36,'Product Names BRI'!A:B,2,FALSE)))</f>
        <v>-</v>
      </c>
      <c r="C36" s="26">
        <f>IFERROR(VLOOKUP(A36,'BRI Insert'!A:D,4,FALSE),MISC!A36)</f>
        <v>0</v>
      </c>
      <c r="E36" s="15" t="s">
        <v>1069</v>
      </c>
      <c r="F36" s="25" t="str">
        <f>IFERROR(VLOOKUP(E36,'BRI Insert'!A:C,3,FALSE),(VLOOKUP(E36,'Product Names BRI'!A:B,2,FALSE)))</f>
        <v>-</v>
      </c>
      <c r="G36" s="25">
        <f>IFERROR(VLOOKUP(E36,'BRI Insert'!A:D,4,FALSE),MISC!A29)</f>
        <v>0</v>
      </c>
    </row>
    <row r="37" spans="1:7" x14ac:dyDescent="0.25">
      <c r="A37" s="15" t="s">
        <v>1069</v>
      </c>
      <c r="B37" s="25" t="str">
        <f>IFERROR(VLOOKUP(A37,'BRI Insert'!A:C,3,FALSE),(VLOOKUP(A37,'Product Names BRI'!A:B,2,FALSE)))</f>
        <v>-</v>
      </c>
      <c r="C37" s="26">
        <f>IFERROR(VLOOKUP(A37,'BRI Insert'!A:D,4,FALSE),MISC!A35)</f>
        <v>0</v>
      </c>
      <c r="E37" s="15" t="s">
        <v>1069</v>
      </c>
      <c r="F37" s="25" t="str">
        <f>IFERROR(VLOOKUP(E37,'BRI Insert'!A:C,3,FALSE),(VLOOKUP(E37,'Product Names BRI'!A:B,2,FALSE)))</f>
        <v>-</v>
      </c>
      <c r="G37" s="25">
        <f>IFERROR(VLOOKUP(E37,'BRI Insert'!A:D,4,FALSE),MISC!A30)</f>
        <v>0</v>
      </c>
    </row>
    <row r="38" spans="1:7" x14ac:dyDescent="0.25">
      <c r="A38" s="15" t="s">
        <v>1069</v>
      </c>
      <c r="B38" s="25" t="str">
        <f>IFERROR(VLOOKUP(A38,'BRI Insert'!A:C,3,FALSE),(VLOOKUP(A38,'Product Names BRI'!A:B,2,FALSE)))</f>
        <v>-</v>
      </c>
      <c r="C38" s="26">
        <f>IFERROR(VLOOKUP(A38,'BRI Insert'!A:D,4,FALSE),MISC!A11)</f>
        <v>0</v>
      </c>
      <c r="E38" s="15" t="s">
        <v>1069</v>
      </c>
      <c r="F38" s="25" t="str">
        <f>IFERROR(VLOOKUP(E38,'BRI Insert'!A:C,3,FALSE),(VLOOKUP(E38,'Product Names BRI'!A:B,2,FALSE)))</f>
        <v>-</v>
      </c>
      <c r="G38" s="25">
        <f>IFERROR(VLOOKUP(E38,'BRI Insert'!A:D,4,FALSE),MISC!A31)</f>
        <v>0</v>
      </c>
    </row>
    <row r="39" spans="1:7" x14ac:dyDescent="0.25">
      <c r="A39" s="15" t="s">
        <v>1069</v>
      </c>
      <c r="B39" s="25" t="str">
        <f>IFERROR(VLOOKUP(A39,'BRI Insert'!A:C,3,FALSE),(VLOOKUP(A39,'Product Names BRI'!A:B,2,FALSE)))</f>
        <v>-</v>
      </c>
      <c r="C39" s="26">
        <f>IFERROR(VLOOKUP(A39,'BRI Insert'!A:D,4,FALSE),MISC!A17)</f>
        <v>0</v>
      </c>
      <c r="E39" s="15" t="s">
        <v>1069</v>
      </c>
      <c r="F39" s="25" t="str">
        <f>IFERROR(VLOOKUP(E39,'BRI Insert'!A:C,3,FALSE),(VLOOKUP(E39,'Product Names BRI'!A:B,2,FALSE)))</f>
        <v>-</v>
      </c>
      <c r="G39" s="25">
        <f>IFERROR(VLOOKUP(E39,'BRI Insert'!A:D,4,FALSE),MISC!A32)</f>
        <v>0</v>
      </c>
    </row>
    <row r="40" spans="1:7" x14ac:dyDescent="0.25">
      <c r="A40" s="15" t="s">
        <v>1069</v>
      </c>
      <c r="B40" s="25" t="str">
        <f>IFERROR(VLOOKUP(A40,'BRI Insert'!A:C,3,FALSE),(VLOOKUP(A40,'Product Names BRI'!A:B,2,FALSE)))</f>
        <v>-</v>
      </c>
      <c r="C40" s="26">
        <f>IFERROR(VLOOKUP(A40,'BRI Insert'!A:D,4,FALSE),MISC!A12)</f>
        <v>0</v>
      </c>
      <c r="E40" s="15" t="s">
        <v>1069</v>
      </c>
      <c r="F40" s="25" t="str">
        <f>IFERROR(VLOOKUP(E40,'BRI Insert'!A:C,3,FALSE),(VLOOKUP(E40,'Product Names BRI'!A:B,2,FALSE)))</f>
        <v>-</v>
      </c>
      <c r="G40" s="25">
        <f>IFERROR(VLOOKUP(E40,'BRI Insert'!A:D,4,FALSE),MISC!A33)</f>
        <v>0</v>
      </c>
    </row>
    <row r="41" spans="1:7" x14ac:dyDescent="0.25">
      <c r="A41" s="15" t="s">
        <v>1069</v>
      </c>
      <c r="B41" s="25" t="str">
        <f>IFERROR(VLOOKUP(A41,'BRI Insert'!A:C,3,FALSE),(VLOOKUP(A41,'Product Names BRI'!A:B,2,FALSE)))</f>
        <v>-</v>
      </c>
      <c r="C41" s="26">
        <f>IFERROR(VLOOKUP(A41,'BRI Insert'!A:D,4,FALSE),MISC!A23)</f>
        <v>0</v>
      </c>
      <c r="E41" s="15" t="s">
        <v>1069</v>
      </c>
      <c r="F41" s="25" t="str">
        <f>IFERROR(VLOOKUP(E41,'BRI Insert'!A:C,3,FALSE),(VLOOKUP(E41,'Product Names BRI'!A:B,2,FALSE)))</f>
        <v>-</v>
      </c>
      <c r="G41" s="25">
        <f>IFERROR(VLOOKUP(E41,'BRI Insert'!A:D,4,FALSE),MISC!A34)</f>
        <v>0</v>
      </c>
    </row>
    <row r="42" spans="1:7" x14ac:dyDescent="0.25">
      <c r="A42" s="15" t="s">
        <v>1069</v>
      </c>
      <c r="B42" s="25" t="str">
        <f>IFERROR(VLOOKUP(A42,'BRI Insert'!A:C,3,FALSE),(VLOOKUP(A42,'Product Names BRI'!A:B,2,FALSE)))</f>
        <v>-</v>
      </c>
      <c r="C42" s="26">
        <f>IFERROR(VLOOKUP(A42,'BRI Insert'!A:D,4,FALSE),MISC!A24)</f>
        <v>0</v>
      </c>
      <c r="E42" s="15" t="s">
        <v>1069</v>
      </c>
      <c r="F42" s="25" t="str">
        <f>IFERROR(VLOOKUP(E42,'BRI Insert'!A:C,3,FALSE),(VLOOKUP(E42,'Product Names BRI'!A:B,2,FALSE)))</f>
        <v>-</v>
      </c>
      <c r="G42" s="25">
        <f>IFERROR(VLOOKUP(E42,'BRI Insert'!A:D,4,FALSE),MISC!A35)</f>
        <v>0</v>
      </c>
    </row>
    <row r="43" spans="1:7" x14ac:dyDescent="0.25">
      <c r="A43" s="15" t="s">
        <v>1069</v>
      </c>
      <c r="B43" s="25" t="str">
        <f>IFERROR(VLOOKUP(A43,'BRI Insert'!A:C,3,FALSE),(VLOOKUP(A43,'Product Names BRI'!A:B,2,FALSE)))</f>
        <v>-</v>
      </c>
      <c r="C43" s="26">
        <f>IFERROR(VLOOKUP(A43,'BRI Insert'!A:D,4,FALSE),MISC!A26)</f>
        <v>0</v>
      </c>
      <c r="E43" s="15" t="s">
        <v>1069</v>
      </c>
      <c r="F43" s="25" t="str">
        <f>IFERROR(VLOOKUP(E43,'BRI Insert'!A:C,3,FALSE),(VLOOKUP(E43,'Product Names BRI'!A:B,2,FALSE)))</f>
        <v>-</v>
      </c>
      <c r="G43" s="25">
        <f>IFERROR(VLOOKUP(E43,'BRI Insert'!A:D,4,FALSE),MISC!A36)</f>
        <v>0</v>
      </c>
    </row>
  </sheetData>
  <pageMargins left="0.4" right="0.25" top="0.75" bottom="0.75" header="0.3" footer="0.3"/>
  <pageSetup orientation="portrait" horizont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44"/>
  <sheetViews>
    <sheetView workbookViewId="0">
      <selection activeCell="A5" sqref="A5:A35"/>
    </sheetView>
  </sheetViews>
  <sheetFormatPr defaultRowHeight="15" x14ac:dyDescent="0.25"/>
  <cols>
    <col min="1" max="1" width="7.5703125" customWidth="1"/>
    <col min="2" max="2" width="31.28515625" customWidth="1"/>
    <col min="3" max="3" width="7" customWidth="1"/>
    <col min="4" max="4" width="5.42578125" customWidth="1"/>
    <col min="6" max="6" width="31.42578125" customWidth="1"/>
    <col min="7" max="7" width="7.85546875" customWidth="1"/>
  </cols>
  <sheetData>
    <row r="1" spans="1:7" ht="33.75" x14ac:dyDescent="0.25">
      <c r="A1" s="35" t="s">
        <v>1101</v>
      </c>
      <c r="F1" s="3"/>
      <c r="G1" s="3"/>
    </row>
    <row r="2" spans="1:7" ht="24.75" x14ac:dyDescent="0.25">
      <c r="B2" s="2"/>
      <c r="C2" s="2"/>
      <c r="D2" s="2"/>
      <c r="E2" s="4"/>
      <c r="F2" s="3"/>
      <c r="G2" s="3"/>
    </row>
    <row r="3" spans="1:7" ht="20.25" thickBot="1" x14ac:dyDescent="0.3">
      <c r="A3" s="22" t="s">
        <v>861</v>
      </c>
      <c r="B3" s="23" t="s">
        <v>919</v>
      </c>
      <c r="C3" s="24" t="s">
        <v>0</v>
      </c>
      <c r="E3" s="22" t="s">
        <v>861</v>
      </c>
      <c r="F3" s="23" t="s">
        <v>919</v>
      </c>
      <c r="G3" s="24" t="s">
        <v>0</v>
      </c>
    </row>
    <row r="4" spans="1:7" x14ac:dyDescent="0.25">
      <c r="A4" s="3"/>
      <c r="B4" s="3"/>
      <c r="C4" s="3"/>
    </row>
    <row r="5" spans="1:7" x14ac:dyDescent="0.25">
      <c r="A5" s="15" t="s">
        <v>1069</v>
      </c>
      <c r="B5" s="25" t="str">
        <f>IFERROR(VLOOKUP(A5,'BRI Insert'!A:C,3,FALSE),(VLOOKUP(A5,'Product Names BRI'!A:B,2,FALSE)))</f>
        <v>-</v>
      </c>
      <c r="C5" s="26">
        <f>IFERROR(VLOOKUP(A5,'BRI Insert'!A:D,4,FALSE),MISC!A20)</f>
        <v>0</v>
      </c>
      <c r="E5" s="15" t="s">
        <v>1069</v>
      </c>
      <c r="F5" s="25" t="str">
        <f>IFERROR(VLOOKUP(E5,'BRI Insert'!A:C,3,FALSE),(VLOOKUP(E5,'Product Names BRI'!A:B,2,FALSE)))</f>
        <v>-</v>
      </c>
      <c r="G5" s="25">
        <f>IFERROR(VLOOKUP(E5,'BRI Insert'!A:D,4,FALSE),MISC!A1)</f>
        <v>0</v>
      </c>
    </row>
    <row r="6" spans="1:7" x14ac:dyDescent="0.25">
      <c r="A6" s="15" t="s">
        <v>1069</v>
      </c>
      <c r="B6" s="25" t="str">
        <f>IFERROR(VLOOKUP(A6,'BRI Insert'!A:C,3,FALSE),(VLOOKUP(A6,'Product Names BRI'!A:B,2,FALSE)))</f>
        <v>-</v>
      </c>
      <c r="C6" s="26">
        <f>IFERROR(VLOOKUP(A6,'BRI Insert'!A:D,4,FALSE),MISC!A25)</f>
        <v>0</v>
      </c>
      <c r="E6" s="15" t="s">
        <v>1069</v>
      </c>
      <c r="F6" s="25" t="str">
        <f>IFERROR(VLOOKUP(E6,'BRI Insert'!A:C,3,FALSE),(VLOOKUP(E6,'Product Names BRI'!A:B,2,FALSE)))</f>
        <v>-</v>
      </c>
      <c r="G6" s="25">
        <f>IFERROR(VLOOKUP(E6,'BRI Insert'!A:D,4,FALSE),MISC!A13)</f>
        <v>0</v>
      </c>
    </row>
    <row r="7" spans="1:7" x14ac:dyDescent="0.25">
      <c r="A7" s="15" t="s">
        <v>1069</v>
      </c>
      <c r="B7" s="25" t="str">
        <f>IFERROR(VLOOKUP(A7,'BRI Insert'!A:C,3,FALSE),(VLOOKUP(A7,'Product Names BRI'!A:B,2,FALSE)))</f>
        <v>-</v>
      </c>
      <c r="C7" s="26">
        <f>IFERROR(VLOOKUP(A7,'BRI Insert'!A:D,4,FALSE),MISC!A21)</f>
        <v>0</v>
      </c>
      <c r="E7" s="15" t="s">
        <v>1069</v>
      </c>
      <c r="F7" s="25" t="str">
        <f>IFERROR(VLOOKUP(E7,'BRI Insert'!A:C,3,FALSE),(VLOOKUP(E7,'Product Names BRI'!A:B,2,FALSE)))</f>
        <v>-</v>
      </c>
      <c r="G7" s="25">
        <f>IFERROR(VLOOKUP(E7,'BRI Insert'!A:D,4,FALSE),MISC!A14)</f>
        <v>0</v>
      </c>
    </row>
    <row r="8" spans="1:7" x14ac:dyDescent="0.25">
      <c r="A8" s="15" t="s">
        <v>1069</v>
      </c>
      <c r="B8" s="25" t="str">
        <f>IFERROR(VLOOKUP(A8,'BRI Insert'!A:C,3,FALSE),(VLOOKUP(A8,'Product Names BRI'!A:B,2,FALSE)))</f>
        <v>-</v>
      </c>
      <c r="C8" s="26">
        <f>IFERROR(VLOOKUP(A8,'BRI Insert'!A:D,4,FALSE),MISC!A13)</f>
        <v>0</v>
      </c>
      <c r="E8" s="15" t="s">
        <v>1069</v>
      </c>
      <c r="F8" s="25" t="str">
        <f>IFERROR(VLOOKUP(E8,'BRI Insert'!A:C,3,FALSE),(VLOOKUP(E8,'Product Names BRI'!A:B,2,FALSE)))</f>
        <v>-</v>
      </c>
      <c r="G8" s="25">
        <f>IFERROR(VLOOKUP(E8,'BRI Insert'!A:D,4,FALSE),MISC!A12)</f>
        <v>0</v>
      </c>
    </row>
    <row r="9" spans="1:7" x14ac:dyDescent="0.25">
      <c r="A9" s="15" t="s">
        <v>1069</v>
      </c>
      <c r="B9" s="25" t="str">
        <f>IFERROR(VLOOKUP(A9,'BRI Insert'!A:C,3,FALSE),(VLOOKUP(A9,'Product Names BRI'!A:B,2,FALSE)))</f>
        <v>-</v>
      </c>
      <c r="C9" s="26">
        <f>IFERROR(VLOOKUP(A9,'BRI Insert'!A:D,4,FALSE),MISC!A27)</f>
        <v>0</v>
      </c>
      <c r="E9" s="15" t="s">
        <v>1069</v>
      </c>
      <c r="F9" s="25" t="str">
        <f>IFERROR(VLOOKUP(E9,'BRI Insert'!A:C,3,FALSE),(VLOOKUP(E9,'Product Names BRI'!A:B,2,FALSE)))</f>
        <v>-</v>
      </c>
      <c r="G9" s="25">
        <f>IFERROR(VLOOKUP(E9,'BRI Insert'!A:D,4,FALSE),MISC!A8)</f>
        <v>0</v>
      </c>
    </row>
    <row r="10" spans="1:7" x14ac:dyDescent="0.25">
      <c r="A10" s="34" t="s">
        <v>1069</v>
      </c>
      <c r="B10" s="25" t="str">
        <f>IFERROR(VLOOKUP(A10,'BRI Insert'!A:C,3,FALSE),(VLOOKUP(A10,'Product Names BRI'!A:B,2,FALSE)))</f>
        <v>-</v>
      </c>
      <c r="C10" s="26">
        <f>IFERROR(VLOOKUP(A10,'BRI Insert'!A:D,4,FALSE),MISC!A4)</f>
        <v>0</v>
      </c>
      <c r="E10" s="15" t="s">
        <v>1069</v>
      </c>
      <c r="F10" s="25" t="str">
        <f>IFERROR(VLOOKUP(E10,'BRI Insert'!A:C,3,FALSE),(VLOOKUP(E10,'Product Names BRI'!A:B,2,FALSE)))</f>
        <v>-</v>
      </c>
      <c r="G10" s="25">
        <f>IFERROR(VLOOKUP(E10,'BRI Insert'!A:D,4,FALSE),MISC!A10)</f>
        <v>0</v>
      </c>
    </row>
    <row r="11" spans="1:7" x14ac:dyDescent="0.25">
      <c r="A11" s="15" t="s">
        <v>1069</v>
      </c>
      <c r="B11" s="25" t="str">
        <f>IFERROR(VLOOKUP(A11,'BRI Insert'!A:C,3,FALSE),(VLOOKUP(A11,'Product Names BRI'!A:B,2,FALSE)))</f>
        <v>-</v>
      </c>
      <c r="C11" s="26">
        <f>IFERROR(VLOOKUP(A11,'BRI Insert'!A:D,4,FALSE),MISC!A8)</f>
        <v>0</v>
      </c>
      <c r="E11" s="15" t="s">
        <v>1069</v>
      </c>
      <c r="F11" s="25" t="str">
        <f>IFERROR(VLOOKUP(E11,'BRI Insert'!A:C,3,FALSE),(VLOOKUP(E11,'Product Names BRI'!A:B,2,FALSE)))</f>
        <v>-</v>
      </c>
      <c r="G11" s="25">
        <f>IFERROR(VLOOKUP(E11,'BRI Insert'!A:D,4,FALSE),MISC!A4)</f>
        <v>0</v>
      </c>
    </row>
    <row r="12" spans="1:7" x14ac:dyDescent="0.25">
      <c r="A12" s="15" t="s">
        <v>1069</v>
      </c>
      <c r="B12" s="25" t="str">
        <f>IFERROR(VLOOKUP(A12,'BRI Insert'!A:C,3,FALSE),(VLOOKUP(A12,'Product Names BRI'!A:B,2,FALSE)))</f>
        <v>-</v>
      </c>
      <c r="C12" s="26">
        <f>IFERROR(VLOOKUP(A12,'BRI Insert'!A:D,4,FALSE),MISC!A19)</f>
        <v>0</v>
      </c>
      <c r="E12" s="15" t="s">
        <v>1069</v>
      </c>
      <c r="F12" s="25" t="str">
        <f>IFERROR(VLOOKUP(E12,'BRI Insert'!A:C,3,FALSE),(VLOOKUP(E12,'Product Names BRI'!A:B,2,FALSE)))</f>
        <v>-</v>
      </c>
      <c r="G12" s="25">
        <f>IFERROR(VLOOKUP(E12,'BRI Insert'!A:D,4,FALSE),MISC!A7)</f>
        <v>0</v>
      </c>
    </row>
    <row r="13" spans="1:7" x14ac:dyDescent="0.25">
      <c r="A13" s="15" t="s">
        <v>1069</v>
      </c>
      <c r="B13" s="25" t="str">
        <f>IFERROR(VLOOKUP(A13,'BRI Insert'!A:C,3,FALSE),(VLOOKUP(A13,'Product Names BRI'!A:B,2,FALSE)))</f>
        <v>-</v>
      </c>
      <c r="C13" s="26">
        <f>IFERROR(VLOOKUP(A13,'BRI Insert'!A:D,4,FALSE),MISC!A31)</f>
        <v>0</v>
      </c>
      <c r="E13" s="15" t="s">
        <v>1069</v>
      </c>
      <c r="F13" s="25" t="str">
        <f>IFERROR(VLOOKUP(E13,'BRI Insert'!A:C,3,FALSE),(VLOOKUP(E13,'Product Names BRI'!A:B,2,FALSE)))</f>
        <v>-</v>
      </c>
      <c r="G13" s="25">
        <f>IFERROR(VLOOKUP(E13,'BRI Insert'!A:D,4,FALSE),MISC!A20)</f>
        <v>0</v>
      </c>
    </row>
    <row r="14" spans="1:7" x14ac:dyDescent="0.25">
      <c r="A14" s="15" t="s">
        <v>1069</v>
      </c>
      <c r="B14" s="25" t="str">
        <f>IFERROR(VLOOKUP(A14,'BRI Insert'!A:C,3,FALSE),(VLOOKUP(A14,'Product Names BRI'!A:B,2,FALSE)))</f>
        <v>-</v>
      </c>
      <c r="C14" s="26">
        <f>IFERROR(VLOOKUP(A14,'BRI Insert'!A:D,4,FALSE),MISC!A15)</f>
        <v>0</v>
      </c>
      <c r="E14" s="15" t="s">
        <v>1069</v>
      </c>
      <c r="F14" s="25" t="str">
        <f>IFERROR(VLOOKUP(E14,'BRI Insert'!A:C,3,FALSE),(VLOOKUP(E14,'Product Names BRI'!A:B,2,FALSE)))</f>
        <v>-</v>
      </c>
      <c r="G14" s="25">
        <f>IFERROR(VLOOKUP(E14,'BRI Insert'!A:D,4,FALSE),MISC!A21)</f>
        <v>0</v>
      </c>
    </row>
    <row r="15" spans="1:7" x14ac:dyDescent="0.25">
      <c r="A15" s="15" t="s">
        <v>1069</v>
      </c>
      <c r="B15" s="25" t="str">
        <f>IFERROR(VLOOKUP(A15,'BRI Insert'!A:C,3,FALSE),(VLOOKUP(A15,'Product Names BRI'!A:B,2,FALSE)))</f>
        <v>-</v>
      </c>
      <c r="C15" s="26">
        <f>IFERROR(VLOOKUP(A15,'BRI Insert'!A:D,4,FALSE),MISC!A18)</f>
        <v>0</v>
      </c>
      <c r="E15" s="15" t="s">
        <v>1069</v>
      </c>
      <c r="F15" s="25" t="str">
        <f>IFERROR(VLOOKUP(E15,'BRI Insert'!A:C,3,FALSE),(VLOOKUP(E15,'Product Names BRI'!A:B,2,FALSE)))</f>
        <v>-</v>
      </c>
      <c r="G15" s="25">
        <f>IFERROR(VLOOKUP(E15,'BRI Insert'!A:D,4,FALSE),MISC!A9)</f>
        <v>0</v>
      </c>
    </row>
    <row r="16" spans="1:7" x14ac:dyDescent="0.25">
      <c r="A16" s="15" t="s">
        <v>1069</v>
      </c>
      <c r="B16" s="25" t="str">
        <f>IFERROR(VLOOKUP(A16,'BRI Insert'!A:C,3,FALSE),(VLOOKUP(A16,'Product Names BRI'!A:B,2,FALSE)))</f>
        <v>-</v>
      </c>
      <c r="C16" s="26">
        <f>IFERROR(VLOOKUP(A16,'BRI Insert'!A:D,4,FALSE),MISC!A6)</f>
        <v>0</v>
      </c>
      <c r="E16" s="15" t="s">
        <v>1069</v>
      </c>
      <c r="F16" s="25" t="str">
        <f>IFERROR(VLOOKUP(E16,'BRI Insert'!A:C,3,FALSE),(VLOOKUP(E16,'Product Names BRI'!A:B,2,FALSE)))</f>
        <v>-</v>
      </c>
      <c r="G16" s="25">
        <f>IFERROR(VLOOKUP(E16,'BRI Insert'!A:D,4,FALSE),MISC!A17)</f>
        <v>0</v>
      </c>
    </row>
    <row r="17" spans="1:7" x14ac:dyDescent="0.25">
      <c r="A17" s="15" t="s">
        <v>1069</v>
      </c>
      <c r="B17" s="25" t="str">
        <f>IFERROR(VLOOKUP(A17,'BRI Insert'!A:C,3,FALSE),(VLOOKUP(A17,'Product Names BRI'!A:B,2,FALSE)))</f>
        <v>-</v>
      </c>
      <c r="C17" s="26">
        <f>IFERROR(VLOOKUP(A17,'BRI Insert'!A:D,4,FALSE),MISC!A33)</f>
        <v>0</v>
      </c>
      <c r="E17" s="15" t="s">
        <v>1069</v>
      </c>
      <c r="F17" s="25" t="str">
        <f>IFERROR(VLOOKUP(E17,'BRI Insert'!A:C,3,FALSE),(VLOOKUP(E17,'Product Names BRI'!A:B,2,FALSE)))</f>
        <v>-</v>
      </c>
      <c r="G17" s="25">
        <f>IFERROR(VLOOKUP(E17,'BRI Insert'!A:D,4,FALSE),MISC!A18)</f>
        <v>0</v>
      </c>
    </row>
    <row r="18" spans="1:7" x14ac:dyDescent="0.25">
      <c r="A18" s="15" t="s">
        <v>1069</v>
      </c>
      <c r="B18" s="25" t="str">
        <f>IFERROR(VLOOKUP(A18,'BRI Insert'!A:C,3,FALSE),(VLOOKUP(A18,'Product Names BRI'!A:B,2,FALSE)))</f>
        <v>-</v>
      </c>
      <c r="C18" s="26">
        <f>IFERROR(VLOOKUP(A18,'BRI Insert'!A:D,4,FALSE),MISC!A2)</f>
        <v>0</v>
      </c>
      <c r="E18" s="15" t="s">
        <v>1069</v>
      </c>
      <c r="F18" s="25" t="str">
        <f>IFERROR(VLOOKUP(E18,'BRI Insert'!A:C,3,FALSE),(VLOOKUP(E18,'Product Names BRI'!A:B,2,FALSE)))</f>
        <v>-</v>
      </c>
      <c r="G18" s="25">
        <f>IFERROR(VLOOKUP(E18,'BRI Insert'!A:D,4,FALSE),MISC!A19)</f>
        <v>0</v>
      </c>
    </row>
    <row r="19" spans="1:7" x14ac:dyDescent="0.25">
      <c r="A19" s="15" t="s">
        <v>1069</v>
      </c>
      <c r="B19" s="25" t="str">
        <f>IFERROR(VLOOKUP(A19,'BRI Insert'!A:C,3,FALSE),(VLOOKUP(A19,'Product Names BRI'!A:B,2,FALSE)))</f>
        <v>-</v>
      </c>
      <c r="C19" s="26">
        <f>IFERROR(VLOOKUP(A19,'BRI Insert'!A:D,4,FALSE),MISC!A5)</f>
        <v>0</v>
      </c>
      <c r="E19" s="15" t="s">
        <v>1069</v>
      </c>
      <c r="F19" s="25" t="str">
        <f>IFERROR(VLOOKUP(E19,'BRI Insert'!A:C,3,FALSE),(VLOOKUP(E19,'Product Names BRI'!A:B,2,FALSE)))</f>
        <v>-</v>
      </c>
      <c r="G19" s="25">
        <f>IFERROR(VLOOKUP(E19,'BRI Insert'!A:D,4,FALSE),MISC!A26)</f>
        <v>0</v>
      </c>
    </row>
    <row r="20" spans="1:7" x14ac:dyDescent="0.25">
      <c r="A20" s="15" t="s">
        <v>1069</v>
      </c>
      <c r="B20" s="25" t="str">
        <f>IFERROR(VLOOKUP(A20,'BRI Insert'!A:C,3,FALSE),(VLOOKUP(A20,'Product Names BRI'!A:B,2,FALSE)))</f>
        <v>-</v>
      </c>
      <c r="C20" s="26">
        <f>IFERROR(VLOOKUP(A20,'BRI Insert'!A:D,4,FALSE),MISC!A22)</f>
        <v>0</v>
      </c>
      <c r="E20" s="15" t="s">
        <v>1069</v>
      </c>
      <c r="F20" s="25" t="str">
        <f>IFERROR(VLOOKUP(E20,'BRI Insert'!A:C,3,FALSE),(VLOOKUP(E20,'Product Names BRI'!A:B,2,FALSE)))</f>
        <v>-</v>
      </c>
      <c r="G20" s="25">
        <f>IFERROR(VLOOKUP(E20,'BRI Insert'!A:D,4,FALSE),MISC!A16)</f>
        <v>0</v>
      </c>
    </row>
    <row r="21" spans="1:7" x14ac:dyDescent="0.25">
      <c r="A21" s="15" t="s">
        <v>1069</v>
      </c>
      <c r="B21" s="25" t="str">
        <f>IFERROR(VLOOKUP(A21,'BRI Insert'!A:C,3,FALSE),(VLOOKUP(A21,'Product Names BRI'!A:B,2,FALSE)))</f>
        <v>-</v>
      </c>
      <c r="C21" s="26">
        <f>IFERROR(VLOOKUP(A21,'BRI Insert'!A:D,4,FALSE),MISC!A1)</f>
        <v>0</v>
      </c>
      <c r="E21" s="15" t="s">
        <v>1069</v>
      </c>
      <c r="F21" s="25" t="str">
        <f>IFERROR(VLOOKUP(E21,'BRI Insert'!A:C,3,FALSE),(VLOOKUP(E21,'Product Names BRI'!A:B,2,FALSE)))</f>
        <v>-</v>
      </c>
      <c r="G21" s="25">
        <f>IFERROR(VLOOKUP(E21,'BRI Insert'!A:D,4,FALSE),MISC!A22)</f>
        <v>0</v>
      </c>
    </row>
    <row r="22" spans="1:7" x14ac:dyDescent="0.25">
      <c r="A22" s="15" t="s">
        <v>1069</v>
      </c>
      <c r="B22" s="25" t="str">
        <f>IFERROR(VLOOKUP(A22,'BRI Insert'!A:C,3,FALSE),(VLOOKUP(A22,'Product Names BRI'!A:B,2,FALSE)))</f>
        <v>-</v>
      </c>
      <c r="C22" s="26">
        <f>IFERROR(VLOOKUP(A22,'BRI Insert'!A:D,4,FALSE),MISC!A7)</f>
        <v>0</v>
      </c>
      <c r="E22" s="15" t="s">
        <v>1069</v>
      </c>
      <c r="F22" s="25" t="str">
        <f>IFERROR(VLOOKUP(E22,'BRI Insert'!A:C,3,FALSE),(VLOOKUP(E22,'Product Names BRI'!A:B,2,FALSE)))</f>
        <v>-</v>
      </c>
      <c r="G22" s="25">
        <f>IFERROR(VLOOKUP(E22,'BRI Insert'!A:D,4,FALSE),MISC!A23)</f>
        <v>0</v>
      </c>
    </row>
    <row r="23" spans="1:7" x14ac:dyDescent="0.25">
      <c r="A23" s="15" t="s">
        <v>1069</v>
      </c>
      <c r="B23" s="25" t="str">
        <f>IFERROR(VLOOKUP(A23,'BRI Insert'!A:C,3,FALSE),(VLOOKUP(A23,'Product Names BRI'!A:B,2,FALSE)))</f>
        <v>-</v>
      </c>
      <c r="C23" s="26">
        <f>IFERROR(VLOOKUP(A23,'BRI Insert'!A:D,4,FALSE),MISC!A37)</f>
        <v>0</v>
      </c>
      <c r="E23" s="15" t="s">
        <v>1069</v>
      </c>
      <c r="F23" s="25" t="str">
        <f>IFERROR(VLOOKUP(E23,'BRI Insert'!A:C,3,FALSE),(VLOOKUP(E23,'Product Names BRI'!A:B,2,FALSE)))</f>
        <v>-</v>
      </c>
      <c r="G23" s="25">
        <f>IFERROR(VLOOKUP(E23,'BRI Insert'!A:D,4,FALSE),MISC!A24)</f>
        <v>0</v>
      </c>
    </row>
    <row r="24" spans="1:7" x14ac:dyDescent="0.25">
      <c r="A24" s="15" t="s">
        <v>1069</v>
      </c>
      <c r="B24" s="25" t="str">
        <f>IFERROR(VLOOKUP(A24,'BRI Insert'!A:C,3,FALSE),(VLOOKUP(A24,'Product Names BRI'!A:B,2,FALSE)))</f>
        <v>-</v>
      </c>
      <c r="C24" s="26">
        <f>IFERROR(VLOOKUP(A24,'BRI Insert'!A:D,4,FALSE),MISC!A38)</f>
        <v>0</v>
      </c>
      <c r="E24" s="15" t="s">
        <v>1069</v>
      </c>
      <c r="F24" s="25" t="str">
        <f>IFERROR(VLOOKUP(E24,'BRI Insert'!A:C,3,FALSE),(VLOOKUP(E24,'Product Names BRI'!A:B,2,FALSE)))</f>
        <v>-</v>
      </c>
      <c r="G24" s="25">
        <f>IFERROR(VLOOKUP(E24,'BRI Insert'!A:D,4,FALSE),MISC!A25)</f>
        <v>0</v>
      </c>
    </row>
    <row r="25" spans="1:7" x14ac:dyDescent="0.25">
      <c r="A25" s="15" t="s">
        <v>1069</v>
      </c>
      <c r="B25" s="25" t="str">
        <f>IFERROR(VLOOKUP(A25,'BRI Insert'!A:C,3,FALSE),(VLOOKUP(A25,'Product Names BRI'!A:B,2,FALSE)))</f>
        <v>-</v>
      </c>
      <c r="C25" s="26">
        <f>IFERROR(VLOOKUP(A25,'BRI Insert'!A:D,4,FALSE),MISC!A29)</f>
        <v>0</v>
      </c>
      <c r="E25" s="15" t="s">
        <v>1069</v>
      </c>
      <c r="F25" s="25" t="str">
        <f>IFERROR(VLOOKUP(E25,'BRI Insert'!A:C,3,FALSE),(VLOOKUP(E25,'Product Names BRI'!A:B,2,FALSE)))</f>
        <v>-</v>
      </c>
      <c r="G25" s="25">
        <f>IFERROR(VLOOKUP(E25,'BRI Insert'!A:D,4,FALSE),MISC!A5)</f>
        <v>0</v>
      </c>
    </row>
    <row r="26" spans="1:7" x14ac:dyDescent="0.25">
      <c r="A26" s="15" t="s">
        <v>1069</v>
      </c>
      <c r="B26" s="25" t="str">
        <f>IFERROR(VLOOKUP(A26,'BRI Insert'!A:C,3,FALSE),(VLOOKUP(A26,'Product Names BRI'!A:B,2,FALSE)))</f>
        <v>-</v>
      </c>
      <c r="C26" s="26">
        <f>IFERROR(VLOOKUP(A26,'BRI Insert'!A:D,4,FALSE),MISC!A3)</f>
        <v>0</v>
      </c>
      <c r="E26" s="15" t="s">
        <v>1069</v>
      </c>
      <c r="F26" s="25" t="str">
        <f>IFERROR(VLOOKUP(E26,'BRI Insert'!A:C,3,FALSE),(VLOOKUP(E26,'Product Names BRI'!A:B,2,FALSE)))</f>
        <v>-</v>
      </c>
      <c r="G26" s="25">
        <f>IFERROR(VLOOKUP(E26,'BRI Insert'!A:D,4,FALSE),MISC!A6)</f>
        <v>0</v>
      </c>
    </row>
    <row r="27" spans="1:7" x14ac:dyDescent="0.25">
      <c r="A27" s="15" t="s">
        <v>1069</v>
      </c>
      <c r="B27" s="25" t="str">
        <f>IFERROR(VLOOKUP(A27,'BRI Insert'!A:C,3,FALSE),(VLOOKUP(A27,'Product Names BRI'!A:B,2,FALSE)))</f>
        <v>-</v>
      </c>
      <c r="C27" s="26">
        <f>IFERROR(VLOOKUP(A27,'BRI Insert'!A:D,4,FALSE),MISC!A16)</f>
        <v>0</v>
      </c>
      <c r="E27" s="15" t="s">
        <v>1069</v>
      </c>
      <c r="F27" s="25" t="str">
        <f>IFERROR(VLOOKUP(E27,'BRI Insert'!A:C,3,FALSE),(VLOOKUP(E27,'Product Names BRI'!A:B,2,FALSE)))</f>
        <v>-</v>
      </c>
      <c r="G27" s="25">
        <f>IFERROR(VLOOKUP(E27,'BRI Insert'!A:D,4,FALSE),MISC!A3)</f>
        <v>0</v>
      </c>
    </row>
    <row r="28" spans="1:7" x14ac:dyDescent="0.25">
      <c r="A28" s="15" t="s">
        <v>1069</v>
      </c>
      <c r="B28" s="25" t="str">
        <f>IFERROR(VLOOKUP(A28,'BRI Insert'!A:C,3,FALSE),(VLOOKUP(A28,'Product Names BRI'!A:B,2,FALSE)))</f>
        <v>-</v>
      </c>
      <c r="C28" s="26">
        <f>IFERROR(VLOOKUP(A28,'BRI Insert'!A:D,4,FALSE),MISC!A30)</f>
        <v>0</v>
      </c>
      <c r="E28" s="15" t="s">
        <v>1069</v>
      </c>
      <c r="F28" s="25" t="str">
        <f>IFERROR(VLOOKUP(E28,'BRI Insert'!A:C,3,FALSE),(VLOOKUP(E28,'Product Names BRI'!A:B,2,FALSE)))</f>
        <v>-</v>
      </c>
      <c r="G28" s="25">
        <f>IFERROR(VLOOKUP(E28,'BRI Insert'!A:D,4,FALSE),MISC!A15)</f>
        <v>0</v>
      </c>
    </row>
    <row r="29" spans="1:7" x14ac:dyDescent="0.25">
      <c r="A29" s="15" t="s">
        <v>1069</v>
      </c>
      <c r="B29" s="25" t="str">
        <f>IFERROR(VLOOKUP(A29,'BRI Insert'!A:C,3,FALSE),(VLOOKUP(A29,'Product Names BRI'!A:B,2,FALSE)))</f>
        <v>-</v>
      </c>
      <c r="C29" s="26">
        <f>IFERROR(VLOOKUP(A29,'BRI Insert'!A:D,4,FALSE),MISC!A10)</f>
        <v>0</v>
      </c>
      <c r="E29" s="15" t="s">
        <v>1069</v>
      </c>
      <c r="F29" s="25" t="str">
        <f>IFERROR(VLOOKUP(E29,'BRI Insert'!A:C,3,FALSE),(VLOOKUP(E29,'Product Names BRI'!A:B,2,FALSE)))</f>
        <v>-</v>
      </c>
      <c r="G29" s="25">
        <f>IFERROR(VLOOKUP(E29,'BRI Insert'!A:D,4,FALSE),MISC!A2)</f>
        <v>0</v>
      </c>
    </row>
    <row r="30" spans="1:7" x14ac:dyDescent="0.25">
      <c r="A30" s="15" t="s">
        <v>1069</v>
      </c>
      <c r="B30" s="25" t="str">
        <f>IFERROR(VLOOKUP(A30,'BRI Insert'!A:C,3,FALSE),(VLOOKUP(A30,'Product Names BRI'!A:B,2,FALSE)))</f>
        <v>-</v>
      </c>
      <c r="C30" s="26">
        <f>IFERROR(VLOOKUP(A30,'BRI Insert'!A:D,4,FALSE),MISC!A34)</f>
        <v>0</v>
      </c>
      <c r="E30" s="15" t="s">
        <v>1069</v>
      </c>
      <c r="F30" s="25" t="str">
        <f>IFERROR(VLOOKUP(E30,'BRI Insert'!A:C,3,FALSE),(VLOOKUP(E30,'Product Names BRI'!A:B,2,FALSE)))</f>
        <v>-</v>
      </c>
      <c r="G30" s="25">
        <f>IFERROR(VLOOKUP(E30,'BRI Insert'!A:D,4,FALSE),MISC!A11)</f>
        <v>0</v>
      </c>
    </row>
    <row r="31" spans="1:7" x14ac:dyDescent="0.25">
      <c r="A31" s="15" t="s">
        <v>1069</v>
      </c>
      <c r="B31" s="25" t="str">
        <f>IFERROR(VLOOKUP(A31,'BRI Insert'!A:C,3,FALSE),(VLOOKUP(A31,'Product Names BRI'!A:B,2,FALSE)))</f>
        <v>-</v>
      </c>
      <c r="C31" s="26">
        <f>IFERROR(VLOOKUP(A31,'BRI Insert'!A:D,4,FALSE),MISC!A9)</f>
        <v>0</v>
      </c>
      <c r="E31" s="15" t="s">
        <v>1069</v>
      </c>
      <c r="F31" s="25" t="str">
        <f>IFERROR(VLOOKUP(E31,'BRI Insert'!A:C,3,FALSE),(VLOOKUP(E31,'Product Names BRI'!A:B,2,FALSE)))</f>
        <v>-</v>
      </c>
      <c r="G31" s="25">
        <f>IFERROR(VLOOKUP(E31,'BRI Insert'!A:D,4,FALSE),MISC!A37)</f>
        <v>0</v>
      </c>
    </row>
    <row r="32" spans="1:7" x14ac:dyDescent="0.25">
      <c r="A32" s="15" t="s">
        <v>1069</v>
      </c>
      <c r="B32" s="25" t="str">
        <f>IFERROR(VLOOKUP(A32,'BRI Insert'!A:C,3,FALSE),(VLOOKUP(A32,'Product Names BRI'!A:B,2,FALSE)))</f>
        <v>-</v>
      </c>
      <c r="C32" s="26">
        <f>IFERROR(VLOOKUP(A32,'BRI Insert'!A:D,4,FALSE),MISC!A28)</f>
        <v>0</v>
      </c>
      <c r="E32" s="15" t="s">
        <v>1069</v>
      </c>
      <c r="F32" s="25" t="str">
        <f>IFERROR(VLOOKUP(E32,'BRI Insert'!A:C,3,FALSE),(VLOOKUP(E32,'Product Names BRI'!A:B,2,FALSE)))</f>
        <v>-</v>
      </c>
      <c r="G32" s="25">
        <f>IFERROR(VLOOKUP(E32,'BRI Insert'!A:D,4,FALSE),MISC!A38)</f>
        <v>0</v>
      </c>
    </row>
    <row r="33" spans="1:7" x14ac:dyDescent="0.25">
      <c r="A33" s="15" t="s">
        <v>1069</v>
      </c>
      <c r="B33" s="25" t="str">
        <f>IFERROR(VLOOKUP(A33,'BRI Insert'!A:C,3,FALSE),(VLOOKUP(A33,'Product Names BRI'!A:B,2,FALSE)))</f>
        <v>-</v>
      </c>
      <c r="C33" s="26">
        <f>IFERROR(VLOOKUP(A33,'BRI Insert'!A:D,4,FALSE),MISC!A14)</f>
        <v>0</v>
      </c>
      <c r="E33" s="15" t="s">
        <v>1069</v>
      </c>
      <c r="F33" s="25" t="str">
        <f>IFERROR(VLOOKUP(E33,'BRI Insert'!A:C,3,FALSE),(VLOOKUP(E33,'Product Names BRI'!A:B,2,FALSE)))</f>
        <v>-</v>
      </c>
      <c r="G33" s="25">
        <f>IFERROR(VLOOKUP(E33,'BRI Insert'!A:D,4,FALSE),MISC!A39)</f>
        <v>0</v>
      </c>
    </row>
    <row r="34" spans="1:7" x14ac:dyDescent="0.25">
      <c r="A34" s="15" t="s">
        <v>1069</v>
      </c>
      <c r="B34" s="25" t="str">
        <f>IFERROR(VLOOKUP(A34,'BRI Insert'!A:C,3,FALSE),(VLOOKUP(A34,'Product Names BRI'!A:B,2,FALSE)))</f>
        <v>-</v>
      </c>
      <c r="C34" s="26">
        <f>IFERROR(VLOOKUP(A34,'BRI Insert'!A:D,4,FALSE),MISC!A39)</f>
        <v>0</v>
      </c>
      <c r="E34" s="15" t="s">
        <v>1069</v>
      </c>
      <c r="F34" s="25" t="str">
        <f>IFERROR(VLOOKUP(E34,'BRI Insert'!A:C,3,FALSE),(VLOOKUP(E34,'Product Names BRI'!A:B,2,FALSE)))</f>
        <v>-</v>
      </c>
      <c r="G34" s="25">
        <f>IFERROR(VLOOKUP(E34,'BRI Insert'!A:D,4,FALSE),MISC!A27)</f>
        <v>0</v>
      </c>
    </row>
    <row r="35" spans="1:7" x14ac:dyDescent="0.25">
      <c r="A35" s="15" t="s">
        <v>1069</v>
      </c>
      <c r="B35" s="25" t="str">
        <f>IFERROR(VLOOKUP(A35,'BRI Insert'!A:C,3,FALSE),(VLOOKUP(A35,'Product Names BRI'!A:B,2,FALSE)))</f>
        <v>-</v>
      </c>
      <c r="C35" s="26">
        <f>IFERROR(VLOOKUP(A35,'BRI Insert'!A:D,4,FALSE),MISC!A32)</f>
        <v>0</v>
      </c>
      <c r="E35" s="15" t="s">
        <v>1069</v>
      </c>
      <c r="F35" s="25" t="str">
        <f>IFERROR(VLOOKUP(E35,'BRI Insert'!A:C,3,FALSE),(VLOOKUP(E35,'Product Names BRI'!A:B,2,FALSE)))</f>
        <v>-</v>
      </c>
      <c r="G35" s="25">
        <f>IFERROR(VLOOKUP(E35,'BRI Insert'!A:D,4,FALSE),MISC!A28)</f>
        <v>0</v>
      </c>
    </row>
    <row r="36" spans="1:7" x14ac:dyDescent="0.25">
      <c r="A36" s="15" t="s">
        <v>1069</v>
      </c>
      <c r="B36" s="25" t="str">
        <f>IFERROR(VLOOKUP(A36,'BRI Insert'!A:C,3,FALSE),(VLOOKUP(A36,'Product Names BRI'!A:B,2,FALSE)))</f>
        <v>-</v>
      </c>
      <c r="C36" s="26">
        <f>IFERROR(VLOOKUP(A36,'BRI Insert'!A:D,4,FALSE),MISC!A36)</f>
        <v>0</v>
      </c>
      <c r="E36" s="15" t="s">
        <v>1069</v>
      </c>
      <c r="F36" s="25" t="str">
        <f>IFERROR(VLOOKUP(E36,'BRI Insert'!A:C,3,FALSE),(VLOOKUP(E36,'Product Names BRI'!A:B,2,FALSE)))</f>
        <v>-</v>
      </c>
      <c r="G36" s="25">
        <f>IFERROR(VLOOKUP(E36,'BRI Insert'!A:D,4,FALSE),MISC!A29)</f>
        <v>0</v>
      </c>
    </row>
    <row r="37" spans="1:7" x14ac:dyDescent="0.25">
      <c r="A37" s="15" t="s">
        <v>1069</v>
      </c>
      <c r="B37" s="25" t="str">
        <f>IFERROR(VLOOKUP(A37,'BRI Insert'!A:C,3,FALSE),(VLOOKUP(A37,'Product Names BRI'!A:B,2,FALSE)))</f>
        <v>-</v>
      </c>
      <c r="C37" s="26">
        <f>IFERROR(VLOOKUP(A37,'BRI Insert'!A:D,4,FALSE),MISC!A35)</f>
        <v>0</v>
      </c>
      <c r="E37" s="15" t="s">
        <v>1069</v>
      </c>
      <c r="F37" s="25" t="str">
        <f>IFERROR(VLOOKUP(E37,'BRI Insert'!A:C,3,FALSE),(VLOOKUP(E37,'Product Names BRI'!A:B,2,FALSE)))</f>
        <v>-</v>
      </c>
      <c r="G37" s="25">
        <f>IFERROR(VLOOKUP(E37,'BRI Insert'!A:D,4,FALSE),MISC!A30)</f>
        <v>0</v>
      </c>
    </row>
    <row r="38" spans="1:7" x14ac:dyDescent="0.25">
      <c r="A38" s="15" t="s">
        <v>1069</v>
      </c>
      <c r="B38" s="25" t="str">
        <f>IFERROR(VLOOKUP(A38,'BRI Insert'!A:C,3,FALSE),(VLOOKUP(A38,'Product Names BRI'!A:B,2,FALSE)))</f>
        <v>-</v>
      </c>
      <c r="C38" s="26">
        <f>IFERROR(VLOOKUP(A38,'BRI Insert'!A:D,4,FALSE),MISC!A11)</f>
        <v>0</v>
      </c>
      <c r="E38" s="15" t="s">
        <v>1069</v>
      </c>
      <c r="F38" s="25" t="str">
        <f>IFERROR(VLOOKUP(E38,'BRI Insert'!A:C,3,FALSE),(VLOOKUP(E38,'Product Names BRI'!A:B,2,FALSE)))</f>
        <v>-</v>
      </c>
      <c r="G38" s="25">
        <f>IFERROR(VLOOKUP(E38,'BRI Insert'!A:D,4,FALSE),MISC!A31)</f>
        <v>0</v>
      </c>
    </row>
    <row r="39" spans="1:7" x14ac:dyDescent="0.25">
      <c r="A39" s="15" t="s">
        <v>1069</v>
      </c>
      <c r="B39" s="25" t="str">
        <f>IFERROR(VLOOKUP(A39,'BRI Insert'!A:C,3,FALSE),(VLOOKUP(A39,'Product Names BRI'!A:B,2,FALSE)))</f>
        <v>-</v>
      </c>
      <c r="C39" s="26">
        <f>IFERROR(VLOOKUP(A39,'BRI Insert'!A:D,4,FALSE),MISC!A17)</f>
        <v>0</v>
      </c>
      <c r="E39" s="15" t="s">
        <v>1069</v>
      </c>
      <c r="F39" s="25" t="str">
        <f>IFERROR(VLOOKUP(E39,'BRI Insert'!A:C,3,FALSE),(VLOOKUP(E39,'Product Names BRI'!A:B,2,FALSE)))</f>
        <v>-</v>
      </c>
      <c r="G39" s="25">
        <f>IFERROR(VLOOKUP(E39,'BRI Insert'!A:D,4,FALSE),MISC!A32)</f>
        <v>0</v>
      </c>
    </row>
    <row r="40" spans="1:7" x14ac:dyDescent="0.25">
      <c r="A40" s="15" t="s">
        <v>1069</v>
      </c>
      <c r="B40" s="25" t="str">
        <f>IFERROR(VLOOKUP(A40,'BRI Insert'!A:C,3,FALSE),(VLOOKUP(A40,'Product Names BRI'!A:B,2,FALSE)))</f>
        <v>-</v>
      </c>
      <c r="C40" s="26">
        <f>IFERROR(VLOOKUP(A40,'BRI Insert'!A:D,4,FALSE),MISC!A12)</f>
        <v>0</v>
      </c>
      <c r="E40" s="15" t="s">
        <v>1069</v>
      </c>
      <c r="F40" s="25" t="str">
        <f>IFERROR(VLOOKUP(E40,'BRI Insert'!A:C,3,FALSE),(VLOOKUP(E40,'Product Names BRI'!A:B,2,FALSE)))</f>
        <v>-</v>
      </c>
      <c r="G40" s="25">
        <f>IFERROR(VLOOKUP(E40,'BRI Insert'!A:D,4,FALSE),MISC!A33)</f>
        <v>0</v>
      </c>
    </row>
    <row r="41" spans="1:7" x14ac:dyDescent="0.25">
      <c r="A41" s="15" t="s">
        <v>1069</v>
      </c>
      <c r="B41" s="25" t="str">
        <f>IFERROR(VLOOKUP(A41,'BRI Insert'!A:C,3,FALSE),(VLOOKUP(A41,'Product Names BRI'!A:B,2,FALSE)))</f>
        <v>-</v>
      </c>
      <c r="C41" s="26">
        <f>IFERROR(VLOOKUP(A41,'BRI Insert'!A:D,4,FALSE),MISC!A23)</f>
        <v>0</v>
      </c>
      <c r="E41" s="15" t="s">
        <v>1069</v>
      </c>
      <c r="F41" s="25" t="str">
        <f>IFERROR(VLOOKUP(E41,'BRI Insert'!A:C,3,FALSE),(VLOOKUP(E41,'Product Names BRI'!A:B,2,FALSE)))</f>
        <v>-</v>
      </c>
      <c r="G41" s="25">
        <f>IFERROR(VLOOKUP(E41,'BRI Insert'!A:D,4,FALSE),MISC!A34)</f>
        <v>0</v>
      </c>
    </row>
    <row r="42" spans="1:7" x14ac:dyDescent="0.25">
      <c r="A42" s="15" t="s">
        <v>1069</v>
      </c>
      <c r="B42" s="25" t="str">
        <f>IFERROR(VLOOKUP(A42,'BRI Insert'!A:C,3,FALSE),(VLOOKUP(A42,'Product Names BRI'!A:B,2,FALSE)))</f>
        <v>-</v>
      </c>
      <c r="C42" s="26">
        <f>IFERROR(VLOOKUP(A42,'BRI Insert'!A:D,4,FALSE),MISC!A24)</f>
        <v>0</v>
      </c>
      <c r="E42" s="15" t="s">
        <v>1069</v>
      </c>
      <c r="F42" s="25" t="str">
        <f>IFERROR(VLOOKUP(E42,'BRI Insert'!A:C,3,FALSE),(VLOOKUP(E42,'Product Names BRI'!A:B,2,FALSE)))</f>
        <v>-</v>
      </c>
      <c r="G42" s="25">
        <f>IFERROR(VLOOKUP(E42,'BRI Insert'!A:D,4,FALSE),MISC!A35)</f>
        <v>0</v>
      </c>
    </row>
    <row r="43" spans="1:7" x14ac:dyDescent="0.25">
      <c r="A43" s="15" t="s">
        <v>1069</v>
      </c>
      <c r="B43" s="25" t="str">
        <f>IFERROR(VLOOKUP(A43,'BRI Insert'!A:C,3,FALSE),(VLOOKUP(A43,'Product Names BRI'!A:B,2,FALSE)))</f>
        <v>-</v>
      </c>
      <c r="C43" s="26">
        <f>IFERROR(VLOOKUP(A43,'BRI Insert'!A:D,4,FALSE),MISC!A26)</f>
        <v>0</v>
      </c>
      <c r="E43" s="15" t="s">
        <v>1069</v>
      </c>
      <c r="F43" s="25" t="str">
        <f>IFERROR(VLOOKUP(E43,'BRI Insert'!A:C,3,FALSE),(VLOOKUP(E43,'Product Names BRI'!A:B,2,FALSE)))</f>
        <v>-</v>
      </c>
      <c r="G43" s="25">
        <f>IFERROR(VLOOKUP(E43,'BRI Insert'!A:D,4,FALSE),MISC!A36)</f>
        <v>0</v>
      </c>
    </row>
    <row r="44" spans="1:7" x14ac:dyDescent="0.25">
      <c r="A44" s="3"/>
      <c r="B44" s="3"/>
      <c r="C44" s="3"/>
    </row>
  </sheetData>
  <pageMargins left="0.4" right="0.25" top="0.75" bottom="0.75" header="0.3" footer="0.3"/>
  <pageSetup orientation="portrait" horizont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43"/>
  <sheetViews>
    <sheetView topLeftCell="A10" workbookViewId="0">
      <selection activeCell="E44" sqref="E44"/>
    </sheetView>
  </sheetViews>
  <sheetFormatPr defaultRowHeight="15" x14ac:dyDescent="0.25"/>
  <cols>
    <col min="1" max="1" width="7.5703125" customWidth="1"/>
    <col min="2" max="2" width="31.28515625" customWidth="1"/>
    <col min="3" max="3" width="7" customWidth="1"/>
    <col min="4" max="4" width="5.42578125" customWidth="1"/>
    <col min="5" max="5" width="8.140625" customWidth="1"/>
    <col min="6" max="6" width="31.42578125" customWidth="1"/>
    <col min="7" max="7" width="7.85546875" customWidth="1"/>
  </cols>
  <sheetData>
    <row r="1" spans="1:7" ht="45" thickBot="1" x14ac:dyDescent="0.3">
      <c r="A1" s="30" t="s">
        <v>1102</v>
      </c>
      <c r="E1" s="46" t="s">
        <v>861</v>
      </c>
      <c r="F1" s="47" t="s">
        <v>919</v>
      </c>
      <c r="G1" s="24" t="s">
        <v>0</v>
      </c>
    </row>
    <row r="2" spans="1:7" x14ac:dyDescent="0.25">
      <c r="B2" s="2"/>
      <c r="C2" s="2"/>
      <c r="D2" s="2"/>
    </row>
    <row r="3" spans="1:7" ht="20.25" thickBot="1" x14ac:dyDescent="0.3">
      <c r="A3" s="22" t="s">
        <v>861</v>
      </c>
      <c r="B3" s="23" t="s">
        <v>919</v>
      </c>
      <c r="C3" s="24" t="s">
        <v>0</v>
      </c>
      <c r="E3" s="15">
        <v>2243</v>
      </c>
      <c r="F3" s="25" t="str">
        <f>IFERROR(VLOOKUP(E3,'BRI Insert'!A:C,3,FALSE),(VLOOKUP(E3,'Product Names BRI'!A:B,2,FALSE)))</f>
        <v>CRANBERRY HIBISCUS LOOSE TEA</v>
      </c>
      <c r="G3" s="25">
        <f>IFERROR(VLOOKUP(E3,'BRI Insert'!A:D,4,FALSE),MISC!A13)</f>
        <v>0.25</v>
      </c>
    </row>
    <row r="4" spans="1:7" x14ac:dyDescent="0.25">
      <c r="A4" s="3"/>
      <c r="B4" s="3"/>
      <c r="C4" s="3"/>
      <c r="E4" s="15">
        <v>2256</v>
      </c>
      <c r="F4" s="25" t="str">
        <f>IFERROR(VLOOKUP(E4,'BRI Insert'!A:C,3,FALSE),(VLOOKUP(E4,'Product Names BRI'!A:B,2,FALSE)))</f>
        <v>ORANGE PEKOE LOOSE LEAF TEA</v>
      </c>
      <c r="G4" s="25">
        <f>IFERROR(VLOOKUP(E4,'BRI Insert'!A:D,4,FALSE),MISC!A14)</f>
        <v>0.70000000000000007</v>
      </c>
    </row>
    <row r="5" spans="1:7" x14ac:dyDescent="0.25">
      <c r="A5" s="15">
        <v>1202</v>
      </c>
      <c r="B5" s="25" t="str">
        <f>IFERROR(VLOOKUP(A5,'BRI Insert'!A:C,3,FALSE),(VLOOKUP(A5,'Product Names BRI'!A:B,2,FALSE)))</f>
        <v>FRENCH ROAST</v>
      </c>
      <c r="C5" s="26">
        <f>IFERROR(VLOOKUP(A5,'BRI Insert'!A:D,4,FALSE),MISC!A20)</f>
        <v>1.5</v>
      </c>
      <c r="E5" s="15">
        <v>2442</v>
      </c>
      <c r="F5" s="25" t="str">
        <f>IFERROR(VLOOKUP(E5,'BRI Insert'!A:C,3,FALSE),(VLOOKUP(E5,'Product Names BRI'!A:B,2,FALSE)))</f>
        <v>SALTED CARAMEL COFFEE</v>
      </c>
      <c r="G5" s="25">
        <f>IFERROR(VLOOKUP(E5,'BRI Insert'!A:D,4,FALSE),MISC!A12)</f>
        <v>0.5</v>
      </c>
    </row>
    <row r="6" spans="1:7" x14ac:dyDescent="0.25">
      <c r="A6" s="15">
        <v>1203</v>
      </c>
      <c r="B6" s="25" t="str">
        <f>IFERROR(VLOOKUP(A6,'BRI Insert'!A:C,3,FALSE),(VLOOKUP(A6,'Product Names BRI'!A:B,2,FALSE)))</f>
        <v>COLOMBIAN SUPREMO</v>
      </c>
      <c r="C6" s="26">
        <f>IFERROR(VLOOKUP(A6,'BRI Insert'!A:D,4,FALSE),MISC!A25)</f>
        <v>0.25</v>
      </c>
      <c r="E6" s="15">
        <v>2461</v>
      </c>
      <c r="F6" s="25" t="str">
        <f>IFERROR(VLOOKUP(E6,'BRI Insert'!A:C,3,FALSE),(VLOOKUP(E6,'Product Names BRI'!A:B,2,FALSE)))</f>
        <v>FAIR TRADE ORG WEST COAST DARK</v>
      </c>
      <c r="G6" s="25">
        <f>IFERROR(VLOOKUP(E6,'BRI Insert'!A:D,4,FALSE),MISC!A8)</f>
        <v>0.5</v>
      </c>
    </row>
    <row r="7" spans="1:7" x14ac:dyDescent="0.25">
      <c r="A7" s="15">
        <v>1204</v>
      </c>
      <c r="B7" s="25" t="str">
        <f>IFERROR(VLOOKUP(A7,'BRI Insert'!A:C,3,FALSE),(VLOOKUP(A7,'Product Names BRI'!A:B,2,FALSE)))</f>
        <v>MOCHA JAVA</v>
      </c>
      <c r="C7" s="26">
        <f>IFERROR(VLOOKUP(A7,'BRI Insert'!A:D,4,FALSE),MISC!A21)</f>
        <v>0.25</v>
      </c>
      <c r="E7" s="15">
        <v>2663</v>
      </c>
      <c r="F7" s="25" t="str">
        <f>IFERROR(VLOOKUP(E7,'BRI Insert'!A:C,3,FALSE),(VLOOKUP(E7,'Product Names BRI'!A:B,2,FALSE)))</f>
        <v>MAKIN' ME CRAZY COFFEE</v>
      </c>
      <c r="G7" s="25">
        <f>IFERROR(VLOOKUP(E7,'BRI Insert'!A:D,4,FALSE),MISC!A10)</f>
        <v>0.5</v>
      </c>
    </row>
    <row r="8" spans="1:7" x14ac:dyDescent="0.25">
      <c r="A8" s="15">
        <v>1205</v>
      </c>
      <c r="B8" s="25" t="str">
        <f>IFERROR(VLOOKUP(A8,'BRI Insert'!A:C,3,FALSE),(VLOOKUP(A8,'Product Names BRI'!A:B,2,FALSE)))</f>
        <v>ESPRESSO RISERVA</v>
      </c>
      <c r="C8" s="26">
        <f>IFERROR(VLOOKUP(A8,'BRI Insert'!A:D,4,FALSE),MISC!A13)</f>
        <v>0.75</v>
      </c>
      <c r="E8" s="15">
        <v>2797</v>
      </c>
      <c r="F8" s="25" t="str">
        <f>IFERROR(VLOOKUP(E8,'BRI Insert'!A:C,3,FALSE),(VLOOKUP(E8,'Product Names BRI'!A:B,2,FALSE)))</f>
        <v>ORG. MATCHA GREEN TEA POWDER</v>
      </c>
      <c r="G8" s="25">
        <f>IFERROR(VLOOKUP(E8,'BRI Insert'!A:D,4,FALSE),MISC!A4)</f>
        <v>1</v>
      </c>
    </row>
    <row r="9" spans="1:7" x14ac:dyDescent="0.25">
      <c r="A9" s="15">
        <v>1205</v>
      </c>
      <c r="B9" s="25" t="str">
        <f>IFERROR(VLOOKUP(A9,'BRI Insert'!A:C,3,FALSE),(VLOOKUP(A9,'Product Names BRI'!A:B,2,FALSE)))</f>
        <v>ESPRESSO RISERVA</v>
      </c>
      <c r="C9" s="26">
        <f>IFERROR(VLOOKUP(A9,'BRI Insert'!A:D,4,FALSE),MISC!A27)</f>
        <v>0.75</v>
      </c>
      <c r="E9" s="15">
        <v>2873</v>
      </c>
      <c r="F9" s="25" t="str">
        <f>IFERROR(VLOOKUP(E9,'BRI Insert'!A:C,3,FALSE),(VLOOKUP(E9,'Product Names BRI'!A:B,2,FALSE)))</f>
        <v>ORGANIC SENCHA GREEN TEA LOOSE</v>
      </c>
      <c r="G9" s="25">
        <f>IFERROR(VLOOKUP(E9,'BRI Insert'!A:D,4,FALSE),MISC!A7)</f>
        <v>0</v>
      </c>
    </row>
    <row r="10" spans="1:7" x14ac:dyDescent="0.25">
      <c r="A10" s="15">
        <v>1208</v>
      </c>
      <c r="B10" s="25" t="str">
        <f>IFERROR(VLOOKUP(A10,'BRI Insert'!A:C,3,FALSE),(VLOOKUP(A10,'Product Names BRI'!A:B,2,FALSE)))</f>
        <v>IRISH CREAM</v>
      </c>
      <c r="C10" s="26">
        <f>IFERROR(VLOOKUP(A10,'BRI Insert'!A:D,4,FALSE),MISC!A4)</f>
        <v>0</v>
      </c>
      <c r="E10" s="15">
        <v>2874</v>
      </c>
      <c r="F10" s="25" t="str">
        <f>IFERROR(VLOOKUP(E10,'BRI Insert'!A:C,3,FALSE),(VLOOKUP(E10,'Product Names BRI'!A:B,2,FALSE)))</f>
        <v>ISLAND RESERVE BLEND COFFEE</v>
      </c>
      <c r="G10" s="25">
        <f>IFERROR(VLOOKUP(E10,'BRI Insert'!A:D,4,FALSE),MISC!A20)</f>
        <v>1.5</v>
      </c>
    </row>
    <row r="11" spans="1:7" x14ac:dyDescent="0.25">
      <c r="A11" s="15">
        <v>1208</v>
      </c>
      <c r="B11" s="25" t="str">
        <f>IFERROR(VLOOKUP(A11,'BRI Insert'!A:C,3,FALSE),(VLOOKUP(A11,'Product Names BRI'!A:B,2,FALSE)))</f>
        <v>IRISH CREAM</v>
      </c>
      <c r="C11" s="26">
        <f>IFERROR(VLOOKUP(A11,'BRI Insert'!A:D,4,FALSE),MISC!A8)</f>
        <v>0</v>
      </c>
      <c r="E11" s="15">
        <v>2874</v>
      </c>
      <c r="F11" s="25" t="str">
        <f>IFERROR(VLOOKUP(E11,'BRI Insert'!A:C,3,FALSE),(VLOOKUP(E11,'Product Names BRI'!A:B,2,FALSE)))</f>
        <v>ISLAND RESERVE BLEND COFFEE</v>
      </c>
      <c r="G11" s="25">
        <f>IFERROR(VLOOKUP(E11,'BRI Insert'!A:D,4,FALSE),MISC!A21)</f>
        <v>1.5</v>
      </c>
    </row>
    <row r="12" spans="1:7" x14ac:dyDescent="0.25">
      <c r="A12" s="15">
        <v>1213</v>
      </c>
      <c r="B12" s="25" t="str">
        <f>IFERROR(VLOOKUP(A12,'BRI Insert'!A:C,3,FALSE),(VLOOKUP(A12,'Product Names BRI'!A:B,2,FALSE)))</f>
        <v>DECAF GREEN TEABAGS</v>
      </c>
      <c r="C12" s="26">
        <f>IFERROR(VLOOKUP(A12,'BRI Insert'!A:D,4,FALSE),MISC!A19)</f>
        <v>0.75</v>
      </c>
      <c r="E12" s="15">
        <v>2938</v>
      </c>
      <c r="F12" s="25" t="str">
        <f>IFERROR(VLOOKUP(E12,'BRI Insert'!A:C,3,FALSE),(VLOOKUP(E12,'Product Names BRI'!A:B,2,FALSE)))</f>
        <v>STRAWBRY CREAM WHITE TEA LOOSE</v>
      </c>
      <c r="G12" s="25">
        <f>IFERROR(VLOOKUP(E12,'BRI Insert'!A:D,4,FALSE),MISC!A9)</f>
        <v>0.25</v>
      </c>
    </row>
    <row r="13" spans="1:7" x14ac:dyDescent="0.25">
      <c r="A13" s="15">
        <v>1216</v>
      </c>
      <c r="B13" s="25" t="str">
        <f>IFERROR(VLOOKUP(A13,'BRI Insert'!A:C,3,FALSE),(VLOOKUP(A13,'Product Names BRI'!A:B,2,FALSE)))</f>
        <v>EARL GREY TEA LOOSE</v>
      </c>
      <c r="C13" s="26">
        <f>IFERROR(VLOOKUP(A13,'BRI Insert'!A:D,4,FALSE),MISC!A31)</f>
        <v>0</v>
      </c>
      <c r="E13" s="15">
        <v>2939</v>
      </c>
      <c r="F13" s="25" t="str">
        <f>IFERROR(VLOOKUP(E13,'BRI Insert'!A:C,3,FALSE),(VLOOKUP(E13,'Product Names BRI'!A:B,2,FALSE)))</f>
        <v>CITRUS COCONUT WHITE TEA LOOSE</v>
      </c>
      <c r="G13" s="25">
        <f>IFERROR(VLOOKUP(E13,'BRI Insert'!A:D,4,FALSE),MISC!A17)</f>
        <v>0.75</v>
      </c>
    </row>
    <row r="14" spans="1:7" x14ac:dyDescent="0.25">
      <c r="A14" s="15">
        <v>1217</v>
      </c>
      <c r="B14" s="25" t="str">
        <f>IFERROR(VLOOKUP(A14,'BRI Insert'!A:C,3,FALSE),(VLOOKUP(A14,'Product Names BRI'!A:B,2,FALSE)))</f>
        <v>GREEN TEA LOOSE</v>
      </c>
      <c r="C14" s="26">
        <f>IFERROR(VLOOKUP(A14,'BRI Insert'!A:D,4,FALSE),MISC!A15)</f>
        <v>0</v>
      </c>
      <c r="E14" s="15">
        <v>3086</v>
      </c>
      <c r="F14" s="25" t="str">
        <f>IFERROR(VLOOKUP(E14,'BRI Insert'!A:C,3,FALSE),(VLOOKUP(E14,'Product Names BRI'!A:B,2,FALSE)))</f>
        <v>EUCALYPTUS MINT LOOSE TEA</v>
      </c>
      <c r="G14" s="25">
        <f>IFERROR(VLOOKUP(E14,'BRI Insert'!A:D,4,FALSE),MISC!A18)</f>
        <v>0.25</v>
      </c>
    </row>
    <row r="15" spans="1:7" x14ac:dyDescent="0.25">
      <c r="A15" s="15">
        <v>1218</v>
      </c>
      <c r="B15" s="25" t="str">
        <f>IFERROR(VLOOKUP(A15,'BRI Insert'!A:C,3,FALSE),(VLOOKUP(A15,'Product Names BRI'!A:B,2,FALSE)))</f>
        <v>GREEN TEABAGS</v>
      </c>
      <c r="C15" s="26">
        <f>IFERROR(VLOOKUP(A15,'BRI Insert'!A:D,4,FALSE),MISC!A18)</f>
        <v>0.25</v>
      </c>
      <c r="E15" s="15">
        <v>3087</v>
      </c>
      <c r="F15" s="25" t="str">
        <f>IFERROR(VLOOKUP(E15,'BRI Insert'!A:C,3,FALSE),(VLOOKUP(E15,'Product Names BRI'!A:B,2,FALSE)))</f>
        <v>LICORICE ZING LOOSE TEA</v>
      </c>
      <c r="G15" s="25">
        <f>IFERROR(VLOOKUP(E15,'BRI Insert'!A:D,4,FALSE),MISC!A19)</f>
        <v>0.25</v>
      </c>
    </row>
    <row r="16" spans="1:7" x14ac:dyDescent="0.25">
      <c r="A16" s="15">
        <v>1219</v>
      </c>
      <c r="B16" s="25" t="str">
        <f>IFERROR(VLOOKUP(A16,'BRI Insert'!A:C,3,FALSE),(VLOOKUP(A16,'Product Names BRI'!A:B,2,FALSE)))</f>
        <v>CHAMOMILE HERBALTEABAGS</v>
      </c>
      <c r="C16" s="26">
        <f>IFERROR(VLOOKUP(A16,'BRI Insert'!A:D,4,FALSE),MISC!A6)</f>
        <v>0.5</v>
      </c>
      <c r="E16" s="15" t="s">
        <v>1069</v>
      </c>
      <c r="F16" s="25" t="str">
        <f>IFERROR(VLOOKUP(E16,'BRI Insert'!A:C,3,FALSE),(VLOOKUP(E16,'Product Names BRI'!A:B,2,FALSE)))</f>
        <v>-</v>
      </c>
      <c r="G16" s="25">
        <f>IFERROR(VLOOKUP(E16,'BRI Insert'!A:D,4,FALSE),MISC!A26)</f>
        <v>0</v>
      </c>
    </row>
    <row r="17" spans="1:7" x14ac:dyDescent="0.25">
      <c r="A17" s="15">
        <v>1222</v>
      </c>
      <c r="B17" s="25" t="str">
        <f>IFERROR(VLOOKUP(A17,'BRI Insert'!A:C,3,FALSE),(VLOOKUP(A17,'Product Names BRI'!A:B,2,FALSE)))</f>
        <v>SUMATRA DARK COFFEE</v>
      </c>
      <c r="C17" s="26">
        <f>IFERROR(VLOOKUP(A17,'BRI Insert'!A:D,4,FALSE),MISC!A33)</f>
        <v>0.70000000000000007</v>
      </c>
      <c r="E17" s="15" t="s">
        <v>1069</v>
      </c>
      <c r="F17" s="25" t="str">
        <f>IFERROR(VLOOKUP(E17,'BRI Insert'!A:C,3,FALSE),(VLOOKUP(E17,'Product Names BRI'!A:B,2,FALSE)))</f>
        <v>-</v>
      </c>
      <c r="G17" s="25">
        <f>IFERROR(VLOOKUP(E17,'BRI Insert'!A:D,4,FALSE),MISC!A16)</f>
        <v>0</v>
      </c>
    </row>
    <row r="18" spans="1:7" x14ac:dyDescent="0.25">
      <c r="A18" s="15">
        <v>1222</v>
      </c>
      <c r="B18" s="25" t="str">
        <f>IFERROR(VLOOKUP(A18,'BRI Insert'!A:C,3,FALSE),(VLOOKUP(A18,'Product Names BRI'!A:B,2,FALSE)))</f>
        <v>SUMATRA DARK COFFEE</v>
      </c>
      <c r="C18" s="26">
        <f>IFERROR(VLOOKUP(A18,'BRI Insert'!A:D,4,FALSE),MISC!A2)</f>
        <v>0.70000000000000007</v>
      </c>
      <c r="E18" s="15" t="s">
        <v>1069</v>
      </c>
      <c r="F18" s="25" t="str">
        <f>IFERROR(VLOOKUP(E18,'BRI Insert'!A:C,3,FALSE),(VLOOKUP(E18,'Product Names BRI'!A:B,2,FALSE)))</f>
        <v>-</v>
      </c>
      <c r="G18" s="25">
        <f>IFERROR(VLOOKUP(E18,'BRI Insert'!A:D,4,FALSE),MISC!A22)</f>
        <v>0</v>
      </c>
    </row>
    <row r="19" spans="1:7" x14ac:dyDescent="0.25">
      <c r="A19" s="15">
        <v>1230</v>
      </c>
      <c r="B19" s="25" t="str">
        <f>IFERROR(VLOOKUP(A19,'BRI Insert'!A:C,3,FALSE),(VLOOKUP(A19,'Product Names BRI'!A:B,2,FALSE)))</f>
        <v>BREAKFAST BLEND</v>
      </c>
      <c r="C19" s="26">
        <f>IFERROR(VLOOKUP(A19,'BRI Insert'!A:D,4,FALSE),MISC!A5)</f>
        <v>0</v>
      </c>
      <c r="E19" s="55" t="s">
        <v>2098</v>
      </c>
      <c r="F19" s="55"/>
      <c r="G19" s="48"/>
    </row>
    <row r="20" spans="1:7" ht="16.5" customHeight="1" x14ac:dyDescent="0.25">
      <c r="A20" s="15">
        <v>1234</v>
      </c>
      <c r="B20" s="25" t="str">
        <f>IFERROR(VLOOKUP(A20,'BRI Insert'!A:C,3,FALSE),(VLOOKUP(A20,'Product Names BRI'!A:B,2,FALSE)))</f>
        <v>APPLE CINN GRN TEA BAGS</v>
      </c>
      <c r="C20" s="26">
        <f>IFERROR(VLOOKUP(A20,'BRI Insert'!A:D,4,FALSE),MISC!A22)</f>
        <v>0.25</v>
      </c>
      <c r="E20" s="55"/>
      <c r="F20" s="55"/>
      <c r="G20" s="45"/>
    </row>
    <row r="21" spans="1:7" ht="16.5" customHeight="1" x14ac:dyDescent="0.25">
      <c r="A21" s="15">
        <v>1238</v>
      </c>
      <c r="B21" s="25" t="str">
        <f>IFERROR(VLOOKUP(A21,'BRI Insert'!A:C,3,FALSE),(VLOOKUP(A21,'Product Names BRI'!A:B,2,FALSE)))</f>
        <v>MOROCCAN MINT GREEN TEA-LOOSE</v>
      </c>
      <c r="C21" s="26">
        <f>IFERROR(VLOOKUP(A21,'BRI Insert'!A:D,4,FALSE),MISC!A1)</f>
        <v>0</v>
      </c>
      <c r="E21" s="55"/>
      <c r="F21" s="55"/>
      <c r="G21" s="45"/>
    </row>
    <row r="22" spans="1:7" x14ac:dyDescent="0.25">
      <c r="A22" s="15">
        <v>1247</v>
      </c>
      <c r="B22" s="25" t="str">
        <f>IFERROR(VLOOKUP(A22,'BRI Insert'!A:C,3,FALSE),(VLOOKUP(A22,'Product Names BRI'!A:B,2,FALSE)))</f>
        <v>HAZELNUT CREAM COFFEE</v>
      </c>
      <c r="C22" s="26">
        <f>IFERROR(VLOOKUP(A22,'BRI Insert'!A:D,4,FALSE),MISC!A7)</f>
        <v>0</v>
      </c>
      <c r="E22" s="15">
        <v>101</v>
      </c>
      <c r="F22" s="25" t="str">
        <f>IFERROR(VLOOKUP(E22,'BRI Insert'!A:C,3,FALSE),(VLOOKUP(E22,'Product Names BRI'!A:B,2,FALSE)))</f>
        <v>UNSALTD BLNCHD PNUTS</v>
      </c>
      <c r="G22" s="25">
        <f>IFERROR(VLOOKUP(E22,'BRI Insert'!A:D,4,FALSE),MISC!A6)</f>
        <v>2</v>
      </c>
    </row>
    <row r="23" spans="1:7" x14ac:dyDescent="0.25">
      <c r="A23" s="15">
        <v>1251</v>
      </c>
      <c r="B23" s="25" t="str">
        <f>IFERROR(VLOOKUP(A23,'BRI Insert'!A:C,3,FALSE),(VLOOKUP(A23,'Product Names BRI'!A:B,2,FALSE)))</f>
        <v>FRENCH VANILLA COFFEE</v>
      </c>
      <c r="C23" s="26">
        <f>IFERROR(VLOOKUP(A23,'BRI Insert'!A:D,4,FALSE),MISC!A37)</f>
        <v>0</v>
      </c>
      <c r="E23" s="15">
        <v>120</v>
      </c>
      <c r="F23" s="25" t="str">
        <f>IFERROR(VLOOKUP(E23,'BRI Insert'!A:C,3,FALSE),(VLOOKUP(E23,'Product Names BRI'!A:B,2,FALSE)))</f>
        <v>UNSALTED ALMONDS DRY ROASTED</v>
      </c>
      <c r="G23" s="25">
        <f>IFERROR(VLOOKUP(E23,'BRI Insert'!A:D,4,FALSE),MISC!A3)</f>
        <v>1.25</v>
      </c>
    </row>
    <row r="24" spans="1:7" x14ac:dyDescent="0.25">
      <c r="A24" s="15">
        <v>1253</v>
      </c>
      <c r="B24" s="25" t="str">
        <f>IFERROR(VLOOKUP(A24,'BRI Insert'!A:C,3,FALSE),(VLOOKUP(A24,'Product Names BRI'!A:B,2,FALSE)))</f>
        <v>DECAF VANILLA HAZELNUT CREME</v>
      </c>
      <c r="C24" s="26">
        <f>IFERROR(VLOOKUP(A24,'BRI Insert'!A:D,4,FALSE),MISC!A38)</f>
        <v>0</v>
      </c>
      <c r="E24" s="15">
        <v>128</v>
      </c>
      <c r="F24" s="25" t="str">
        <f>IFERROR(VLOOKUP(E24,'BRI Insert'!A:C,3,FALSE),(VLOOKUP(E24,'Product Names BRI'!A:B,2,FALSE)))</f>
        <v>DELUXE MIX NUTS R&amp;S N/P</v>
      </c>
      <c r="G24" s="25">
        <f>IFERROR(VLOOKUP(E24,'BRI Insert'!A:D,4,FALSE),MISC!A15)</f>
        <v>1</v>
      </c>
    </row>
    <row r="25" spans="1:7" x14ac:dyDescent="0.25">
      <c r="A25" s="15">
        <v>1254</v>
      </c>
      <c r="B25" s="25" t="str">
        <f>IFERROR(VLOOKUP(A25,'BRI Insert'!A:C,3,FALSE),(VLOOKUP(A25,'Product Names BRI'!A:B,2,FALSE)))</f>
        <v>DECAF MTN.WATER PROCESS COFFEE</v>
      </c>
      <c r="C25" s="26">
        <f>IFERROR(VLOOKUP(A25,'BRI Insert'!A:D,4,FALSE),MISC!A29)</f>
        <v>0.75</v>
      </c>
      <c r="E25" s="15">
        <v>524</v>
      </c>
      <c r="F25" s="25" t="str">
        <f>IFERROR(VLOOKUP(E25,'BRI Insert'!A:C,3,FALSE),(VLOOKUP(E25,'Product Names BRI'!A:B,2,FALSE)))</f>
        <v>FINNISH BERRIES</v>
      </c>
      <c r="G25" s="25">
        <f>IFERROR(VLOOKUP(E25,'BRI Insert'!A:D,4,FALSE),MISC!A2)</f>
        <v>1.25</v>
      </c>
    </row>
    <row r="26" spans="1:7" x14ac:dyDescent="0.25">
      <c r="A26" s="15">
        <v>1254</v>
      </c>
      <c r="B26" s="25" t="str">
        <f>IFERROR(VLOOKUP(A26,'BRI Insert'!A:C,3,FALSE),(VLOOKUP(A26,'Product Names BRI'!A:B,2,FALSE)))</f>
        <v>DECAF MTN.WATER PROCESS COFFEE</v>
      </c>
      <c r="C26" s="26">
        <f>IFERROR(VLOOKUP(A26,'BRI Insert'!A:D,4,FALSE),MISC!A3)</f>
        <v>0.75</v>
      </c>
      <c r="E26" s="15">
        <v>546</v>
      </c>
      <c r="F26" s="25" t="str">
        <f>IFERROR(VLOOKUP(E26,'BRI Insert'!A:C,3,FALSE),(VLOOKUP(E26,'Product Names BRI'!A:B,2,FALSE)))</f>
        <v>DARE SUPER SOFT JU JUBES</v>
      </c>
      <c r="G26" s="25">
        <f>IFERROR(VLOOKUP(E26,'BRI Insert'!A:D,4,FALSE),MISC!A11)</f>
        <v>0</v>
      </c>
    </row>
    <row r="27" spans="1:7" x14ac:dyDescent="0.25">
      <c r="A27" s="15">
        <v>1257</v>
      </c>
      <c r="B27" s="25" t="str">
        <f>IFERROR(VLOOKUP(A27,'BRI Insert'!A:C,3,FALSE),(VLOOKUP(A27,'Product Names BRI'!A:B,2,FALSE)))</f>
        <v>EARL GREY TEABAGS</v>
      </c>
      <c r="C27" s="26">
        <f>IFERROR(VLOOKUP(A27,'BRI Insert'!A:D,4,FALSE),MISC!A16)</f>
        <v>0</v>
      </c>
      <c r="E27" s="15">
        <v>590</v>
      </c>
      <c r="F27" s="25" t="str">
        <f>IFERROR(VLOOKUP(E27,'BRI Insert'!A:C,3,FALSE),(VLOOKUP(E27,'Product Names BRI'!A:B,2,FALSE)))</f>
        <v>M&amp;M PEANUT CHOC. CANDIES</v>
      </c>
      <c r="G27" s="25">
        <f>IFERROR(VLOOKUP(E27,'BRI Insert'!A:D,4,FALSE),MISC!A37)</f>
        <v>0.25</v>
      </c>
    </row>
    <row r="28" spans="1:7" x14ac:dyDescent="0.25">
      <c r="A28" s="15">
        <v>1260</v>
      </c>
      <c r="B28" s="25" t="str">
        <f>IFERROR(VLOOKUP(A28,'BRI Insert'!A:C,3,FALSE),(VLOOKUP(A28,'Product Names BRI'!A:B,2,FALSE)))</f>
        <v>RAINFOREST ORGANIC COFFEE BLND</v>
      </c>
      <c r="C28" s="26">
        <f>IFERROR(VLOOKUP(A28,'BRI Insert'!A:D,4,FALSE),MISC!A30)</f>
        <v>0.75</v>
      </c>
      <c r="E28" s="15">
        <v>610</v>
      </c>
      <c r="F28" s="25" t="str">
        <f>IFERROR(VLOOKUP(E28,'BRI Insert'!A:C,3,FALSE),(VLOOKUP(E28,'Product Names BRI'!A:B,2,FALSE)))</f>
        <v>MILK CHOCOLATE ALMONDS</v>
      </c>
      <c r="G28" s="25">
        <f>IFERROR(VLOOKUP(E28,'BRI Insert'!A:D,4,FALSE),MISC!A38)</f>
        <v>3</v>
      </c>
    </row>
    <row r="29" spans="1:7" x14ac:dyDescent="0.25">
      <c r="A29" s="34">
        <v>1270</v>
      </c>
      <c r="B29" s="25" t="str">
        <f>IFERROR(VLOOKUP(A29,'BRI Insert'!A:C,3,FALSE),(VLOOKUP(A29,'Product Names BRI'!A:B,2,FALSE)))</f>
        <v>PEPPERMINT HERBAL TEABAGS</v>
      </c>
      <c r="C29" s="26">
        <f>IFERROR(VLOOKUP(A29,'BRI Insert'!A:D,4,FALSE),MISC!A10)</f>
        <v>0.75</v>
      </c>
      <c r="E29" s="15">
        <v>626</v>
      </c>
      <c r="F29" s="25" t="str">
        <f>IFERROR(VLOOKUP(E29,'BRI Insert'!A:C,3,FALSE),(VLOOKUP(E29,'Product Names BRI'!A:B,2,FALSE)))</f>
        <v>REESE'S PIECES</v>
      </c>
      <c r="G29" s="25">
        <f>IFERROR(VLOOKUP(E29,'BRI Insert'!A:D,4,FALSE),MISC!A39)</f>
        <v>1.25</v>
      </c>
    </row>
    <row r="30" spans="1:7" x14ac:dyDescent="0.25">
      <c r="A30" s="15">
        <v>1272</v>
      </c>
      <c r="B30" s="25" t="str">
        <f>IFERROR(VLOOKUP(A30,'BRI Insert'!A:C,3,FALSE),(VLOOKUP(A30,'Product Names BRI'!A:B,2,FALSE)))</f>
        <v>OOLONG ORANGE TEA LOOSE</v>
      </c>
      <c r="C30" s="26">
        <f>IFERROR(VLOOKUP(A30,'BRI Insert'!A:D,4,FALSE),MISC!A34)</f>
        <v>0</v>
      </c>
      <c r="E30" s="15">
        <v>635</v>
      </c>
      <c r="F30" s="25" t="str">
        <f>IFERROR(VLOOKUP(E30,'BRI Insert'!A:C,3,FALSE),(VLOOKUP(E30,'Product Names BRI'!A:B,2,FALSE)))</f>
        <v>HERSHEY KISSES</v>
      </c>
      <c r="G30" s="25">
        <f>IFERROR(VLOOKUP(E30,'BRI Insert'!A:D,4,FALSE),MISC!A27)</f>
        <v>0</v>
      </c>
    </row>
    <row r="31" spans="1:7" x14ac:dyDescent="0.25">
      <c r="A31" s="15">
        <v>1273</v>
      </c>
      <c r="B31" s="25" t="str">
        <f>IFERROR(VLOOKUP(A31,'BRI Insert'!A:C,3,FALSE),(VLOOKUP(A31,'Product Names BRI'!A:B,2,FALSE)))</f>
        <v>FAIR TRADE CHIN.GRN TEA LOOSE</v>
      </c>
      <c r="C31" s="26">
        <f>IFERROR(VLOOKUP(A31,'BRI Insert'!A:D,4,FALSE),MISC!A9)</f>
        <v>0.5</v>
      </c>
      <c r="E31" s="15">
        <v>642</v>
      </c>
      <c r="F31" s="25" t="str">
        <f>IFERROR(VLOOKUP(E31,'BRI Insert'!A:C,3,FALSE),(VLOOKUP(E31,'Product Names BRI'!A:B,2,FALSE)))</f>
        <v>PEACH SLICES</v>
      </c>
      <c r="G31" s="25">
        <f>IFERROR(VLOOKUP(E31,'BRI Insert'!A:D,4,FALSE),MISC!A28)</f>
        <v>0.25</v>
      </c>
    </row>
    <row r="32" spans="1:7" x14ac:dyDescent="0.25">
      <c r="A32" s="15">
        <v>1274</v>
      </c>
      <c r="B32" s="25" t="str">
        <f>IFERROR(VLOOKUP(A32,'BRI Insert'!A:C,3,FALSE),(VLOOKUP(A32,'Product Names BRI'!A:B,2,FALSE)))</f>
        <v>VANILLA ROOIBOS TEA LOOSE</v>
      </c>
      <c r="C32" s="26">
        <f>IFERROR(VLOOKUP(A32,'BRI Insert'!A:D,4,FALSE),MISC!A28)</f>
        <v>0.25</v>
      </c>
      <c r="E32" s="15">
        <v>664</v>
      </c>
      <c r="F32" s="25" t="str">
        <f>IFERROR(VLOOKUP(E32,'BRI Insert'!A:C,3,FALSE),(VLOOKUP(E32,'Product Names BRI'!A:B,2,FALSE)))</f>
        <v>WINE GUMS</v>
      </c>
      <c r="G32" s="25">
        <f>IFERROR(VLOOKUP(E32,'BRI Insert'!A:D,4,FALSE),MISC!A29)</f>
        <v>0</v>
      </c>
    </row>
    <row r="33" spans="1:7" x14ac:dyDescent="0.25">
      <c r="A33" s="15">
        <v>1276</v>
      </c>
      <c r="B33" s="25" t="str">
        <f>IFERROR(VLOOKUP(A33,'BRI Insert'!A:C,3,FALSE),(VLOOKUP(A33,'Product Names BRI'!A:B,2,FALSE)))</f>
        <v>ASSAM TEA LOOSE</v>
      </c>
      <c r="C33" s="26">
        <f>IFERROR(VLOOKUP(A33,'BRI Insert'!A:D,4,FALSE),MISC!A14)</f>
        <v>0.75</v>
      </c>
      <c r="E33" s="15">
        <v>1546</v>
      </c>
      <c r="F33" s="25" t="str">
        <f>IFERROR(VLOOKUP(E33,'BRI Insert'!A:C,3,FALSE),(VLOOKUP(E33,'Product Names BRI'!A:B,2,FALSE)))</f>
        <v>ORGANIC QUINOA</v>
      </c>
      <c r="G33" s="25">
        <f>IFERROR(VLOOKUP(E33,'BRI Insert'!A:D,4,FALSE),MISC!A30)</f>
        <v>1</v>
      </c>
    </row>
    <row r="34" spans="1:7" x14ac:dyDescent="0.25">
      <c r="A34" s="15">
        <v>1277</v>
      </c>
      <c r="B34" s="25" t="str">
        <f>IFERROR(VLOOKUP(A34,'BRI Insert'!A:C,3,FALSE),(VLOOKUP(A34,'Product Names BRI'!A:B,2,FALSE)))</f>
        <v>POM LAVENDER GREEN TEA LOOSE</v>
      </c>
      <c r="C34" s="26">
        <f>IFERROR(VLOOKUP(A34,'BRI Insert'!A:D,4,FALSE),MISC!A39)</f>
        <v>0.5</v>
      </c>
      <c r="E34" s="15">
        <v>1562</v>
      </c>
      <c r="F34" s="25" t="str">
        <f>IFERROR(VLOOKUP(E34,'BRI Insert'!A:C,3,FALSE),(VLOOKUP(E34,'Product Names BRI'!A:B,2,FALSE)))</f>
        <v>CHIA SEEDS</v>
      </c>
      <c r="G34" s="25">
        <f>IFERROR(VLOOKUP(E34,'BRI Insert'!A:D,4,FALSE),MISC!A31)</f>
        <v>1</v>
      </c>
    </row>
    <row r="35" spans="1:7" x14ac:dyDescent="0.25">
      <c r="A35" s="15">
        <v>1278</v>
      </c>
      <c r="B35" s="25" t="str">
        <f>IFERROR(VLOOKUP(A35,'BRI Insert'!A:C,3,FALSE),(VLOOKUP(A35,'Product Names BRI'!A:B,2,FALSE)))</f>
        <v>CHAI BLACK TEA LOOSE</v>
      </c>
      <c r="C35" s="26">
        <f>IFERROR(VLOOKUP(A35,'BRI Insert'!A:D,4,FALSE),MISC!A32)</f>
        <v>0.25</v>
      </c>
      <c r="E35" s="15">
        <v>1700</v>
      </c>
      <c r="F35" s="25" t="str">
        <f>IFERROR(VLOOKUP(E35,'BRI Insert'!A:C,3,FALSE),(VLOOKUP(E35,'Product Names BRI'!A:B,2,FALSE)))</f>
        <v>SULTANA RAISINS</v>
      </c>
      <c r="G35" s="25">
        <f>IFERROR(VLOOKUP(E35,'BRI Insert'!A:D,4,FALSE),MISC!A32)</f>
        <v>1</v>
      </c>
    </row>
    <row r="36" spans="1:7" x14ac:dyDescent="0.25">
      <c r="A36" s="15">
        <v>1282</v>
      </c>
      <c r="B36" s="25" t="str">
        <f>IFERROR(VLOOKUP(A36,'BRI Insert'!A:C,3,FALSE),(VLOOKUP(A36,'Product Names BRI'!A:B,2,FALSE)))</f>
        <v>HIBISCUS ROSEHIP TEA LOOSE</v>
      </c>
      <c r="C36" s="26">
        <f>IFERROR(VLOOKUP(A36,'BRI Insert'!A:D,4,FALSE),MISC!A36)</f>
        <v>0.5</v>
      </c>
      <c r="E36" s="15">
        <v>1702</v>
      </c>
      <c r="F36" s="25" t="str">
        <f>IFERROR(VLOOKUP(E36,'BRI Insert'!A:C,3,FALSE),(VLOOKUP(E36,'Product Names BRI'!A:B,2,FALSE)))</f>
        <v>THOMPSON RAISINS</v>
      </c>
      <c r="G36" s="25">
        <f>IFERROR(VLOOKUP(E36,'BRI Insert'!A:D,4,FALSE),MISC!A33)</f>
        <v>0</v>
      </c>
    </row>
    <row r="37" spans="1:7" x14ac:dyDescent="0.25">
      <c r="A37" s="15">
        <v>1282</v>
      </c>
      <c r="B37" s="25" t="str">
        <f>IFERROR(VLOOKUP(A37,'BRI Insert'!A:C,3,FALSE),(VLOOKUP(A37,'Product Names BRI'!A:B,2,FALSE)))</f>
        <v>HIBISCUS ROSEHIP TEA LOOSE</v>
      </c>
      <c r="C37" s="26">
        <f>IFERROR(VLOOKUP(A37,'BRI Insert'!A:D,4,FALSE),MISC!A35)</f>
        <v>0.5</v>
      </c>
      <c r="E37" s="15">
        <v>1706</v>
      </c>
      <c r="F37" s="25" t="str">
        <f>IFERROR(VLOOKUP(E37,'BRI Insert'!A:C,3,FALSE),(VLOOKUP(E37,'Product Names BRI'!A:B,2,FALSE)))</f>
        <v>PRUNES LARGE PITS REMVD</v>
      </c>
      <c r="G37" s="25">
        <f>IFERROR(VLOOKUP(E37,'BRI Insert'!A:D,4,FALSE),MISC!A34)</f>
        <v>1</v>
      </c>
    </row>
    <row r="38" spans="1:7" x14ac:dyDescent="0.25">
      <c r="A38" s="15">
        <v>1284</v>
      </c>
      <c r="B38" s="25" t="str">
        <f>IFERROR(VLOOKUP(A38,'BRI Insert'!A:C,3,FALSE),(VLOOKUP(A38,'Product Names BRI'!A:B,2,FALSE)))</f>
        <v>POM ROSEHIP TEA LOOSE</v>
      </c>
      <c r="C38" s="26">
        <f>IFERROR(VLOOKUP(A38,'BRI Insert'!A:D,4,FALSE),MISC!A11)</f>
        <v>0.25</v>
      </c>
      <c r="E38" s="15">
        <v>1711</v>
      </c>
      <c r="F38" s="25" t="str">
        <f>IFERROR(VLOOKUP(E38,'BRI Insert'!A:C,3,FALSE),(VLOOKUP(E38,'Product Names BRI'!A:B,2,FALSE)))</f>
        <v>DATES LOOSE PACK PITS REMVD</v>
      </c>
      <c r="G38" s="25">
        <f>IFERROR(VLOOKUP(E38,'BRI Insert'!A:D,4,FALSE),MISC!A35)</f>
        <v>0</v>
      </c>
    </row>
    <row r="39" spans="1:7" x14ac:dyDescent="0.25">
      <c r="A39" s="15">
        <v>1285</v>
      </c>
      <c r="B39" s="25" t="str">
        <f>IFERROR(VLOOKUP(A39,'BRI Insert'!A:C,3,FALSE),(VLOOKUP(A39,'Product Names BRI'!A:B,2,FALSE)))</f>
        <v>BLACK CURRANT BLACK TEA LOOSE</v>
      </c>
      <c r="C39" s="26">
        <f>IFERROR(VLOOKUP(A39,'BRI Insert'!A:D,4,FALSE),MISC!A17)</f>
        <v>0.25</v>
      </c>
      <c r="E39" s="15">
        <v>1720</v>
      </c>
      <c r="F39" s="25" t="str">
        <f>IFERROR(VLOOKUP(E39,'BRI Insert'!A:C,3,FALSE),(VLOOKUP(E39,'Product Names BRI'!A:B,2,FALSE)))</f>
        <v>TURKISH APRICOTS</v>
      </c>
      <c r="G39" s="25">
        <f>IFERROR(VLOOKUP(E39,'BRI Insert'!A:D,4,FALSE),MISC!A36)</f>
        <v>0.25</v>
      </c>
    </row>
    <row r="40" spans="1:7" x14ac:dyDescent="0.25">
      <c r="A40" s="15">
        <v>2170</v>
      </c>
      <c r="B40" s="25" t="str">
        <f>IFERROR(VLOOKUP(A40,'BRI Insert'!A:C,3,FALSE),(VLOOKUP(A40,'Product Names BRI'!A:B,2,FALSE)))</f>
        <v>GERMAN CHOCO CAKE COFFE BEANS</v>
      </c>
      <c r="C40" s="26">
        <f>IFERROR(VLOOKUP(A40,'BRI Insert'!A:D,4,FALSE),MISC!A12)</f>
        <v>0</v>
      </c>
      <c r="E40" s="15">
        <v>1724</v>
      </c>
      <c r="F40" s="25" t="str">
        <f>IFERROR(VLOOKUP(E40,'BRI Insert'!A:C,3,FALSE),(VLOOKUP(E39,'Product Names BRI'!A:B,2,FALSE)))</f>
        <v>DRIED CRANBERRIES</v>
      </c>
      <c r="G40" s="25">
        <f>IFERROR(VLOOKUP(E40,'BRI Insert'!A:D,4,FALSE),MISC!A37)</f>
        <v>2</v>
      </c>
    </row>
    <row r="41" spans="1:7" x14ac:dyDescent="0.25">
      <c r="A41" s="15">
        <v>2240</v>
      </c>
      <c r="B41" s="25" t="str">
        <f>IFERROR(VLOOKUP(A41,'BRI Insert'!A:C,3,FALSE),(VLOOKUP(A41,'Product Names BRI'!A:B,2,FALSE)))</f>
        <v>CHOCOLATE ENERGY LOOSE TEA</v>
      </c>
      <c r="C41" s="26">
        <f>IFERROR(VLOOKUP(A41,'BRI Insert'!A:D,4,FALSE),MISC!A23)</f>
        <v>0.25</v>
      </c>
      <c r="E41" s="15">
        <v>1773</v>
      </c>
      <c r="F41" s="25" t="str">
        <f>IFERROR(VLOOKUP(E41,'BRI Insert'!A:C,3,FALSE),(VLOOKUP(E40,'Product Names BRI'!A:B,2,FALSE)))</f>
        <v>WALNUT PIECES</v>
      </c>
      <c r="G41" s="25">
        <f>IFERROR(VLOOKUP(E41,'BRI Insert'!A:D,4,FALSE),MISC!A38)</f>
        <v>3.25</v>
      </c>
    </row>
    <row r="42" spans="1:7" x14ac:dyDescent="0.25">
      <c r="A42" s="15">
        <v>2241</v>
      </c>
      <c r="B42" s="25" t="str">
        <f>IFERROR(VLOOKUP(A42,'BRI Insert'!A:C,3,FALSE),(VLOOKUP(A42,'Product Names BRI'!A:B,2,FALSE)))</f>
        <v>TROPICAL COCO MANGO OOLONG TEA</v>
      </c>
      <c r="C42" s="26">
        <f>IFERROR(VLOOKUP(A42,'BRI Insert'!A:D,4,FALSE),MISC!A24)</f>
        <v>0</v>
      </c>
      <c r="E42" s="15">
        <v>1786</v>
      </c>
      <c r="F42" s="25" t="str">
        <f>IFERROR(VLOOKUP(E42,'BRI Insert'!A:C,3,FALSE),(VLOOKUP(E41,'Product Names BRI'!A:B,2,FALSE)))</f>
        <v>NATURAL ALMONDS</v>
      </c>
      <c r="G42" s="25">
        <f>IFERROR(VLOOKUP(E42,'BRI Insert'!A:D,4,FALSE),MISC!A39)</f>
        <v>2</v>
      </c>
    </row>
    <row r="43" spans="1:7" x14ac:dyDescent="0.25">
      <c r="A43" s="15">
        <v>2242</v>
      </c>
      <c r="B43" s="25" t="str">
        <f>IFERROR(VLOOKUP(A43,'BRI Insert'!A:C,3,FALSE),(VLOOKUP(A43,'Product Names BRI'!A:B,2,FALSE)))</f>
        <v>GINGER TURMERIC GREEN TEA</v>
      </c>
      <c r="C43" s="26">
        <f>IFERROR(VLOOKUP(A43,'BRI Insert'!A:D,4,FALSE),MISC!A26)</f>
        <v>0.25</v>
      </c>
      <c r="E43" s="15">
        <v>2409</v>
      </c>
      <c r="F43" s="25" t="str">
        <f>IFERROR(VLOOKUP(E43,'BRI Insert'!A:C,3,FALSE),(VLOOKUP(E42,'Product Names BRI'!A:B,2,FALSE)))</f>
        <v>PUMPKIN SEEDS, HULLED RAW</v>
      </c>
      <c r="G43" s="25">
        <f>IFERROR(VLOOKUP(E43,'BRI Insert'!A:D,4,FALSE),MISC!A40)</f>
        <v>3</v>
      </c>
    </row>
  </sheetData>
  <sortState ref="E22:E43">
    <sortCondition ref="E22"/>
  </sortState>
  <mergeCells count="1">
    <mergeCell ref="E19:F21"/>
  </mergeCells>
  <pageMargins left="0.4" right="0.25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43"/>
  <sheetViews>
    <sheetView topLeftCell="A10" workbookViewId="0">
      <selection activeCell="E14" sqref="E14"/>
    </sheetView>
  </sheetViews>
  <sheetFormatPr defaultRowHeight="15" x14ac:dyDescent="0.25"/>
  <cols>
    <col min="1" max="1" width="7.5703125" customWidth="1"/>
    <col min="2" max="2" width="31.28515625" customWidth="1"/>
    <col min="3" max="3" width="7" customWidth="1"/>
    <col min="4" max="4" width="5.42578125" customWidth="1"/>
    <col min="6" max="6" width="31.42578125" customWidth="1"/>
    <col min="7" max="7" width="7.85546875" customWidth="1"/>
  </cols>
  <sheetData>
    <row r="1" spans="1:7" ht="33.75" x14ac:dyDescent="0.4">
      <c r="A1" s="35" t="s">
        <v>2099</v>
      </c>
      <c r="E1" s="40"/>
      <c r="F1" s="3"/>
      <c r="G1" s="3"/>
    </row>
    <row r="2" spans="1:7" ht="24.75" x14ac:dyDescent="0.25">
      <c r="B2" s="2"/>
      <c r="C2" s="2"/>
      <c r="D2" s="2"/>
      <c r="E2" s="4"/>
      <c r="F2" s="3"/>
      <c r="G2" s="3"/>
    </row>
    <row r="3" spans="1:7" ht="20.25" thickBot="1" x14ac:dyDescent="0.3">
      <c r="A3" s="22" t="s">
        <v>861</v>
      </c>
      <c r="B3" s="23" t="s">
        <v>919</v>
      </c>
      <c r="C3" s="24" t="s">
        <v>0</v>
      </c>
      <c r="E3" s="22" t="s">
        <v>861</v>
      </c>
      <c r="F3" s="23" t="s">
        <v>919</v>
      </c>
      <c r="G3" s="24" t="s">
        <v>0</v>
      </c>
    </row>
    <row r="4" spans="1:7" x14ac:dyDescent="0.25">
      <c r="A4" s="3"/>
      <c r="B4" s="3"/>
      <c r="C4" s="3"/>
    </row>
    <row r="5" spans="1:7" x14ac:dyDescent="0.25">
      <c r="A5" s="15">
        <v>755</v>
      </c>
      <c r="B5" s="25" t="str">
        <f>IFERROR(VLOOKUP(A5,'BRI Insert'!A:C,3,FALSE),(VLOOKUP(A5,'Product Names BRI'!A:B,2,FALSE)))</f>
        <v>SIGNATURE ORANGE</v>
      </c>
      <c r="C5" s="26">
        <f>IFERROR(VLOOKUP(A5,'BRI Insert'!A:D,4,FALSE),MISC!A20)</f>
        <v>0</v>
      </c>
      <c r="E5" s="15">
        <v>13745</v>
      </c>
      <c r="F5" s="25" t="str">
        <f>IFERROR(VLOOKUP(E5,'BRI Insert'!A:C,3,FALSE),(VLOOKUP(E5,'Product Names BRI'!A:B,2,FALSE)))</f>
        <v>ROCK CANDY GRAPE</v>
      </c>
      <c r="G5" s="25">
        <f>IFERROR(VLOOKUP(E5,'BRI Insert'!A:D,4,FALSE),MISC!A1)</f>
        <v>0</v>
      </c>
    </row>
    <row r="6" spans="1:7" x14ac:dyDescent="0.25">
      <c r="A6" s="15">
        <v>752</v>
      </c>
      <c r="B6" s="25" t="str">
        <f>IFERROR(VLOOKUP(A6,'BRI Insert'!A:C,3,FALSE),(VLOOKUP(A6,'Product Names BRI'!A:B,2,FALSE)))</f>
        <v>N.S.A. SIGNATURE ASST.</v>
      </c>
      <c r="C6" s="26">
        <f>IFERROR(VLOOKUP(A6,'BRI Insert'!A:D,4,FALSE),MISC!A25)</f>
        <v>0.5</v>
      </c>
      <c r="E6" s="15">
        <v>13748</v>
      </c>
      <c r="F6" s="25" t="str">
        <f>IFERROR(VLOOKUP(E6,'BRI Insert'!A:C,3,FALSE),(VLOOKUP(E6,'Product Names BRI'!A:B,2,FALSE)))</f>
        <v>ROCK CANDY BLUEBERRY</v>
      </c>
      <c r="G6" s="25">
        <f>IFERROR(VLOOKUP(E6,'BRI Insert'!A:D,4,FALSE),MISC!A13)</f>
        <v>0</v>
      </c>
    </row>
    <row r="7" spans="1:7" x14ac:dyDescent="0.25">
      <c r="A7" s="15">
        <v>7693</v>
      </c>
      <c r="B7" s="25" t="str">
        <f>IFERROR(VLOOKUP(A7,'BRI Insert'!A:C,3,FALSE),(VLOOKUP(A7,'Product Names BRI'!A:B,2,FALSE)))</f>
        <v>LICORICE TOFFEE</v>
      </c>
      <c r="C7" s="26">
        <f>IFERROR(VLOOKUP(A7,'BRI Insert'!A:D,4,FALSE),MISC!A21)</f>
        <v>0</v>
      </c>
      <c r="E7" s="15">
        <v>13746</v>
      </c>
      <c r="F7" s="25" t="str">
        <f>IFERROR(VLOOKUP(E7,'BRI Insert'!A:C,3,FALSE),(VLOOKUP(E7,'Product Names BRI'!A:B,2,FALSE)))</f>
        <v>ROCK CANDY CHERRY</v>
      </c>
      <c r="G7" s="25">
        <f>IFERROR(VLOOKUP(E7,'BRI Insert'!A:D,4,FALSE),MISC!A14)</f>
        <v>0.25</v>
      </c>
    </row>
    <row r="8" spans="1:7" x14ac:dyDescent="0.25">
      <c r="A8" s="15">
        <v>7691</v>
      </c>
      <c r="B8" s="25" t="str">
        <f>IFERROR(VLOOKUP(A8,'BRI Insert'!A:C,3,FALSE),(VLOOKUP(A8,'Product Names BRI'!A:B,2,FALSE)))</f>
        <v>ENGLISH TOFFEE</v>
      </c>
      <c r="C8" s="26">
        <f>IFERROR(VLOOKUP(A8,'BRI Insert'!A:D,4,FALSE),MISC!A13)</f>
        <v>0</v>
      </c>
      <c r="E8" s="15">
        <v>12548</v>
      </c>
      <c r="F8" s="25" t="e">
        <f>IFERROR(VLOOKUP(E8,'BRI Insert'!A:C,3,FALSE),(VLOOKUP(E8,'Product Names BRI'!A:B,2,FALSE)))</f>
        <v>#N/A</v>
      </c>
      <c r="G8" s="25">
        <f>IFERROR(VLOOKUP(E8,'BRI Insert'!A:D,4,FALSE),MISC!A12)</f>
        <v>0</v>
      </c>
    </row>
    <row r="9" spans="1:7" x14ac:dyDescent="0.25">
      <c r="A9" s="15">
        <v>7690</v>
      </c>
      <c r="B9" s="25" t="str">
        <f>IFERROR(VLOOKUP(A9,'BRI Insert'!A:C,3,FALSE),(VLOOKUP(A9,'Product Names BRI'!A:B,2,FALSE)))</f>
        <v>RUM TOFFEE</v>
      </c>
      <c r="C9" s="26">
        <f>IFERROR(VLOOKUP(A9,'BRI Insert'!A:D,4,FALSE),MISC!A27)</f>
        <v>0.5</v>
      </c>
      <c r="E9" s="15">
        <v>10655</v>
      </c>
      <c r="F9" s="25" t="str">
        <f>IFERROR(VLOOKUP(E9,'BRI Insert'!A:C,3,FALSE),(VLOOKUP(E9,'Product Names BRI'!A:B,2,FALSE)))</f>
        <v>STICK CANDY BLUE RASPBERRY</v>
      </c>
      <c r="G9" s="25">
        <f>IFERROR(VLOOKUP(E9,'BRI Insert'!A:D,4,FALSE),MISC!A8)</f>
        <v>0.75</v>
      </c>
    </row>
    <row r="10" spans="1:7" x14ac:dyDescent="0.25">
      <c r="A10" s="34">
        <v>778</v>
      </c>
      <c r="B10" s="25" t="str">
        <f>IFERROR(VLOOKUP(A10,'BRI Insert'!A:C,3,FALSE),(VLOOKUP(A10,'Product Names BRI'!A:B,2,FALSE)))</f>
        <v>NSA STARLITE MINTS</v>
      </c>
      <c r="C10" s="26">
        <f>IFERROR(VLOOKUP(A10,'BRI Insert'!A:D,4,FALSE),MISC!A4)</f>
        <v>0.75</v>
      </c>
      <c r="E10" s="15">
        <v>12531</v>
      </c>
      <c r="F10" s="25" t="e">
        <f>IFERROR(VLOOKUP(E10,'BRI Insert'!A:C,3,FALSE),(VLOOKUP(E10,'Product Names BRI'!A:B,2,FALSE)))</f>
        <v>#N/A</v>
      </c>
      <c r="G10" s="25">
        <f>IFERROR(VLOOKUP(E10,'BRI Insert'!A:D,4,FALSE),MISC!A10)</f>
        <v>0</v>
      </c>
    </row>
    <row r="11" spans="1:7" x14ac:dyDescent="0.25">
      <c r="A11" s="15">
        <v>792</v>
      </c>
      <c r="B11" s="25" t="str">
        <f>IFERROR(VLOOKUP(A11,'BRI Insert'!A:C,3,FALSE),(VLOOKUP(A11,'Product Names BRI'!A:B,2,FALSE)))</f>
        <v>SIGNATURE BUTTERSCOTCH</v>
      </c>
      <c r="C11" s="26">
        <f>IFERROR(VLOOKUP(A11,'BRI Insert'!A:D,4,FALSE),MISC!A8)</f>
        <v>0.25</v>
      </c>
      <c r="E11" s="15">
        <v>13738</v>
      </c>
      <c r="F11" s="25" t="str">
        <f>IFERROR(VLOOKUP(E11,'BRI Insert'!A:C,3,FALSE),(VLOOKUP(E11,'Product Names BRI'!A:B,2,FALSE)))</f>
        <v>ROCK CANDY BLUE RASPBERRY</v>
      </c>
      <c r="G11" s="25">
        <f>IFERROR(VLOOKUP(E11,'BRI Insert'!A:D,4,FALSE),MISC!A4)</f>
        <v>0</v>
      </c>
    </row>
    <row r="12" spans="1:7" x14ac:dyDescent="0.25">
      <c r="A12" s="15">
        <v>796</v>
      </c>
      <c r="B12" s="25" t="str">
        <f>IFERROR(VLOOKUP(A12,'BRI Insert'!A:C,3,FALSE),(VLOOKUP(A12,'Product Names BRI'!A:B,2,FALSE)))</f>
        <v>SIGNATURE BLACK LICORICE</v>
      </c>
      <c r="C12" s="26">
        <f>IFERROR(VLOOKUP(A12,'BRI Insert'!A:D,4,FALSE),MISC!A19)</f>
        <v>0</v>
      </c>
      <c r="E12" s="15">
        <v>13737</v>
      </c>
      <c r="F12" s="25" t="str">
        <f>IFERROR(VLOOKUP(E12,'BRI Insert'!A:C,3,FALSE),(VLOOKUP(E12,'Product Names BRI'!A:B,2,FALSE)))</f>
        <v>ROCK CANDY COTTON CANDY</v>
      </c>
      <c r="G12" s="25">
        <f>IFERROR(VLOOKUP(E12,'BRI Insert'!A:D,4,FALSE),MISC!A7)</f>
        <v>0</v>
      </c>
    </row>
    <row r="13" spans="1:7" x14ac:dyDescent="0.25">
      <c r="A13" s="15">
        <v>7697</v>
      </c>
      <c r="B13" s="25" t="str">
        <f>IFERROR(VLOOKUP(A13,'BRI Insert'!A:C,3,FALSE),(VLOOKUP(A13,'Product Names BRI'!A:B,2,FALSE)))</f>
        <v>BUT'R MINTS</v>
      </c>
      <c r="C13" s="26">
        <f>IFERROR(VLOOKUP(A13,'BRI Insert'!A:D,4,FALSE),MISC!A31)</f>
        <v>0.75</v>
      </c>
      <c r="E13" s="15">
        <v>13739</v>
      </c>
      <c r="F13" s="25" t="str">
        <f>IFERROR(VLOOKUP(E13,'BRI Insert'!A:C,3,FALSE),(VLOOKUP(E13,'Product Names BRI'!A:B,2,FALSE)))</f>
        <v>ROCK CANDY STRAWBERRY</v>
      </c>
      <c r="G13" s="25">
        <f>IFERROR(VLOOKUP(E13,'BRI Insert'!A:D,4,FALSE),MISC!A20)</f>
        <v>0</v>
      </c>
    </row>
    <row r="14" spans="1:7" x14ac:dyDescent="0.25">
      <c r="A14" s="15">
        <v>763</v>
      </c>
      <c r="B14" s="25" t="str">
        <f>IFERROR(VLOOKUP(A14,'BRI Insert'!A:C,3,FALSE),(VLOOKUP(A14,'Product Names BRI'!A:B,2,FALSE)))</f>
        <v>SIGNATURE CINNAMON</v>
      </c>
      <c r="C14" s="26">
        <f>IFERROR(VLOOKUP(A14,'BRI Insert'!A:D,4,FALSE),MISC!A15)</f>
        <v>0</v>
      </c>
      <c r="E14" s="15" t="s">
        <v>1069</v>
      </c>
      <c r="F14" s="25" t="str">
        <f>IFERROR(VLOOKUP(E14,'BRI Insert'!A:C,3,FALSE),(VLOOKUP(E14,'Product Names BRI'!A:B,2,FALSE)))</f>
        <v>-</v>
      </c>
      <c r="G14" s="25">
        <f>IFERROR(VLOOKUP(E14,'BRI Insert'!A:D,4,FALSE),MISC!A21)</f>
        <v>0</v>
      </c>
    </row>
    <row r="15" spans="1:7" x14ac:dyDescent="0.25">
      <c r="A15" s="15">
        <v>7692</v>
      </c>
      <c r="B15" s="25" t="str">
        <f>IFERROR(VLOOKUP(A15,'BRI Insert'!A:C,3,FALSE),(VLOOKUP(A15,'Product Names BRI'!A:B,2,FALSE)))</f>
        <v>BRAZIL NUT TOFFEE</v>
      </c>
      <c r="C15" s="26">
        <f>IFERROR(VLOOKUP(A15,'BRI Insert'!A:D,4,FALSE),MISC!A18)</f>
        <v>1</v>
      </c>
      <c r="E15" s="15" t="s">
        <v>1069</v>
      </c>
      <c r="F15" s="25" t="str">
        <f>IFERROR(VLOOKUP(E15,'BRI Insert'!A:C,3,FALSE),(VLOOKUP(E15,'Product Names BRI'!A:B,2,FALSE)))</f>
        <v>-</v>
      </c>
      <c r="G15" s="25">
        <f>IFERROR(VLOOKUP(E15,'BRI Insert'!A:D,4,FALSE),MISC!A9)</f>
        <v>0</v>
      </c>
    </row>
    <row r="16" spans="1:7" x14ac:dyDescent="0.25">
      <c r="A16" s="15">
        <v>7685</v>
      </c>
      <c r="B16" s="25" t="str">
        <f>IFERROR(VLOOKUP(A16,'BRI Insert'!A:C,3,FALSE),(VLOOKUP(A16,'Product Names BRI'!A:B,2,FALSE)))</f>
        <v>SAYBON PICK 'N MIX</v>
      </c>
      <c r="C16" s="26">
        <f>IFERROR(VLOOKUP(A16,'BRI Insert'!A:D,4,FALSE),MISC!A6)</f>
        <v>0.25</v>
      </c>
      <c r="E16" s="15" t="s">
        <v>1069</v>
      </c>
      <c r="F16" s="25" t="str">
        <f>IFERROR(VLOOKUP(E16,'BRI Insert'!A:C,3,FALSE),(VLOOKUP(E16,'Product Names BRI'!A:B,2,FALSE)))</f>
        <v>-</v>
      </c>
      <c r="G16" s="25">
        <f>IFERROR(VLOOKUP(E16,'BRI Insert'!A:D,4,FALSE),MISC!A17)</f>
        <v>0</v>
      </c>
    </row>
    <row r="17" spans="1:7" x14ac:dyDescent="0.25">
      <c r="A17" s="15">
        <v>7679</v>
      </c>
      <c r="B17" s="25" t="str">
        <f>IFERROR(VLOOKUP(A17,'BRI Insert'!A:C,3,FALSE),(VLOOKUP(A17,'Product Names BRI'!A:B,2,FALSE)))</f>
        <v>MENTHOL EUCALYPTUS</v>
      </c>
      <c r="C17" s="26">
        <f>IFERROR(VLOOKUP(A17,'BRI Insert'!A:D,4,FALSE),MISC!A33)</f>
        <v>0.5</v>
      </c>
      <c r="E17" s="15" t="s">
        <v>1069</v>
      </c>
      <c r="F17" s="25" t="str">
        <f>IFERROR(VLOOKUP(E17,'BRI Insert'!A:C,3,FALSE),(VLOOKUP(E17,'Product Names BRI'!A:B,2,FALSE)))</f>
        <v>-</v>
      </c>
      <c r="G17" s="25">
        <f>IFERROR(VLOOKUP(E17,'BRI Insert'!A:D,4,FALSE),MISC!A18)</f>
        <v>0</v>
      </c>
    </row>
    <row r="18" spans="1:7" x14ac:dyDescent="0.25">
      <c r="A18" s="15">
        <v>7678</v>
      </c>
      <c r="B18" s="25" t="str">
        <f>IFERROR(VLOOKUP(A18,'BRI Insert'!A:C,3,FALSE),(VLOOKUP(A18,'Product Names BRI'!A:B,2,FALSE)))</f>
        <v>GLITTER MINTS</v>
      </c>
      <c r="C18" s="26">
        <f>IFERROR(VLOOKUP(A18,'BRI Insert'!A:D,4,FALSE),MISC!A2)</f>
        <v>0.75</v>
      </c>
      <c r="E18" s="15" t="s">
        <v>1069</v>
      </c>
      <c r="F18" s="25" t="str">
        <f>IFERROR(VLOOKUP(E18,'BRI Insert'!A:C,3,FALSE),(VLOOKUP(E18,'Product Names BRI'!A:B,2,FALSE)))</f>
        <v>-</v>
      </c>
      <c r="G18" s="25">
        <f>IFERROR(VLOOKUP(E18,'BRI Insert'!A:D,4,FALSE),MISC!A19)</f>
        <v>0</v>
      </c>
    </row>
    <row r="19" spans="1:7" x14ac:dyDescent="0.25">
      <c r="A19" s="15">
        <v>7684</v>
      </c>
      <c r="B19" s="25" t="str">
        <f>IFERROR(VLOOKUP(A19,'BRI Insert'!A:C,3,FALSE),(VLOOKUP(A19,'Product Names BRI'!A:B,2,FALSE)))</f>
        <v>SOFT CENTERED FRUITS</v>
      </c>
      <c r="C19" s="26">
        <f>IFERROR(VLOOKUP(A19,'BRI Insert'!A:D,4,FALSE),MISC!A5)</f>
        <v>0</v>
      </c>
      <c r="E19" s="15" t="s">
        <v>1069</v>
      </c>
      <c r="F19" s="25" t="str">
        <f>IFERROR(VLOOKUP(E19,'BRI Insert'!A:C,3,FALSE),(VLOOKUP(E19,'Product Names BRI'!A:B,2,FALSE)))</f>
        <v>-</v>
      </c>
      <c r="G19" s="25">
        <f>IFERROR(VLOOKUP(E19,'BRI Insert'!A:D,4,FALSE),MISC!A26)</f>
        <v>0</v>
      </c>
    </row>
    <row r="20" spans="1:7" x14ac:dyDescent="0.25">
      <c r="A20" s="15">
        <v>771</v>
      </c>
      <c r="B20" s="25" t="str">
        <f>IFERROR(VLOOKUP(A20,'BRI Insert'!A:C,3,FALSE),(VLOOKUP(A20,'Product Names BRI'!A:B,2,FALSE)))</f>
        <v>SIGNATURE SOUR LEMON</v>
      </c>
      <c r="C20" s="26">
        <f>IFERROR(VLOOKUP(A20,'BRI Insert'!A:D,4,FALSE),MISC!A22)</f>
        <v>1</v>
      </c>
      <c r="E20" s="15" t="s">
        <v>1069</v>
      </c>
      <c r="F20" s="25" t="str">
        <f>IFERROR(VLOOKUP(E20,'BRI Insert'!A:C,3,FALSE),(VLOOKUP(E20,'Product Names BRI'!A:B,2,FALSE)))</f>
        <v>-</v>
      </c>
      <c r="G20" s="25">
        <f>IFERROR(VLOOKUP(E20,'BRI Insert'!A:D,4,FALSE),MISC!A16)</f>
        <v>0</v>
      </c>
    </row>
    <row r="21" spans="1:7" x14ac:dyDescent="0.25">
      <c r="A21" s="15">
        <v>794</v>
      </c>
      <c r="B21" s="25" t="str">
        <f>IFERROR(VLOOKUP(A21,'BRI Insert'!A:C,3,FALSE),(VLOOKUP(A21,'Product Names BRI'!A:B,2,FALSE)))</f>
        <v>SIGNATURE MINT</v>
      </c>
      <c r="C21" s="26">
        <f>IFERROR(VLOOKUP(A21,'BRI Insert'!A:D,4,FALSE),MISC!A1)</f>
        <v>0.25</v>
      </c>
      <c r="E21" s="15" t="s">
        <v>1069</v>
      </c>
      <c r="F21" s="25" t="str">
        <f>IFERROR(VLOOKUP(E21,'BRI Insert'!A:C,3,FALSE),(VLOOKUP(E21,'Product Names BRI'!A:B,2,FALSE)))</f>
        <v>-</v>
      </c>
      <c r="G21" s="25">
        <f>IFERROR(VLOOKUP(E21,'BRI Insert'!A:D,4,FALSE),MISC!A22)</f>
        <v>0</v>
      </c>
    </row>
    <row r="22" spans="1:7" x14ac:dyDescent="0.25">
      <c r="A22" s="15">
        <v>774</v>
      </c>
      <c r="B22" s="25" t="str">
        <f>IFERROR(VLOOKUP(A22,'BRI Insert'!A:C,3,FALSE),(VLOOKUP(A22,'Product Names BRI'!A:B,2,FALSE)))</f>
        <v>SIG.MENTH/EUCAL THRT DROP</v>
      </c>
      <c r="C22" s="26">
        <f>IFERROR(VLOOKUP(A22,'BRI Insert'!A:D,4,FALSE),MISC!A7)</f>
        <v>0</v>
      </c>
      <c r="E22" s="15" t="s">
        <v>1069</v>
      </c>
      <c r="F22" s="25" t="str">
        <f>IFERROR(VLOOKUP(E22,'BRI Insert'!A:C,3,FALSE),(VLOOKUP(E22,'Product Names BRI'!A:B,2,FALSE)))</f>
        <v>-</v>
      </c>
      <c r="G22" s="25">
        <f>IFERROR(VLOOKUP(E22,'BRI Insert'!A:D,4,FALSE),MISC!A23)</f>
        <v>0</v>
      </c>
    </row>
    <row r="23" spans="1:7" x14ac:dyDescent="0.25">
      <c r="A23" s="15">
        <v>7699</v>
      </c>
      <c r="B23" s="25" t="str">
        <f>IFERROR(VLOOKUP(A23,'BRI Insert'!A:C,3,FALSE),(VLOOKUP(A23,'Product Names BRI'!A:B,2,FALSE)))</f>
        <v>DELUXE JELLIES</v>
      </c>
      <c r="C23" s="26">
        <f>IFERROR(VLOOKUP(A23,'BRI Insert'!A:D,4,FALSE),MISC!A37)</f>
        <v>0.75</v>
      </c>
      <c r="E23" s="15" t="s">
        <v>1069</v>
      </c>
      <c r="F23" s="25" t="str">
        <f>IFERROR(VLOOKUP(E23,'BRI Insert'!A:C,3,FALSE),(VLOOKUP(E23,'Product Names BRI'!A:B,2,FALSE)))</f>
        <v>-</v>
      </c>
      <c r="G23" s="25">
        <f>IFERROR(VLOOKUP(E23,'BRI Insert'!A:D,4,FALSE),MISC!A24)</f>
        <v>0</v>
      </c>
    </row>
    <row r="24" spans="1:7" x14ac:dyDescent="0.25">
      <c r="A24" s="15">
        <v>773</v>
      </c>
      <c r="B24" s="25" t="e">
        <f>IFERROR(VLOOKUP(A24,'BRI Insert'!A:C,3,FALSE),(VLOOKUP(A24,'Product Names BRI'!A:B,2,FALSE)))</f>
        <v>#N/A</v>
      </c>
      <c r="C24" s="26">
        <f>IFERROR(VLOOKUP(A24,'BRI Insert'!A:D,4,FALSE),MISC!A38)</f>
        <v>0</v>
      </c>
      <c r="E24" s="15" t="s">
        <v>1069</v>
      </c>
      <c r="F24" s="25" t="str">
        <f>IFERROR(VLOOKUP(E24,'BRI Insert'!A:C,3,FALSE),(VLOOKUP(E24,'Product Names BRI'!A:B,2,FALSE)))</f>
        <v>-</v>
      </c>
      <c r="G24" s="25">
        <f>IFERROR(VLOOKUP(E24,'BRI Insert'!A:D,4,FALSE),MISC!A25)</f>
        <v>0</v>
      </c>
    </row>
    <row r="25" spans="1:7" x14ac:dyDescent="0.25">
      <c r="A25" s="15">
        <v>7698</v>
      </c>
      <c r="B25" s="25" t="str">
        <f>IFERROR(VLOOKUP(A25,'BRI Insert'!A:C,3,FALSE),(VLOOKUP(A25,'Product Names BRI'!A:B,2,FALSE)))</f>
        <v>DELUXE JU JUBES</v>
      </c>
      <c r="C25" s="26">
        <f>IFERROR(VLOOKUP(A25,'BRI Insert'!A:D,4,FALSE),MISC!A29)</f>
        <v>0</v>
      </c>
      <c r="E25" s="15" t="s">
        <v>1069</v>
      </c>
      <c r="F25" s="25" t="str">
        <f>IFERROR(VLOOKUP(E25,'BRI Insert'!A:C,3,FALSE),(VLOOKUP(E25,'Product Names BRI'!A:B,2,FALSE)))</f>
        <v>-</v>
      </c>
      <c r="G25" s="25">
        <f>IFERROR(VLOOKUP(E25,'BRI Insert'!A:D,4,FALSE),MISC!A5)</f>
        <v>0</v>
      </c>
    </row>
    <row r="26" spans="1:7" x14ac:dyDescent="0.25">
      <c r="A26" s="15">
        <v>795</v>
      </c>
      <c r="B26" s="25" t="str">
        <f>IFERROR(VLOOKUP(A26,'BRI Insert'!A:C,3,FALSE),(VLOOKUP(A26,'Product Names BRI'!A:B,2,FALSE)))</f>
        <v>SIGNATURE WILD FRUIT ASSORTED</v>
      </c>
      <c r="C26" s="26">
        <f>IFERROR(VLOOKUP(A26,'BRI Insert'!A:D,4,FALSE),MISC!A3)</f>
        <v>0</v>
      </c>
      <c r="E26" s="15" t="s">
        <v>1069</v>
      </c>
      <c r="F26" s="25" t="str">
        <f>IFERROR(VLOOKUP(E26,'BRI Insert'!A:C,3,FALSE),(VLOOKUP(E26,'Product Names BRI'!A:B,2,FALSE)))</f>
        <v>-</v>
      </c>
      <c r="G26" s="25">
        <f>IFERROR(VLOOKUP(E26,'BRI Insert'!A:D,4,FALSE),MISC!A6)</f>
        <v>0</v>
      </c>
    </row>
    <row r="27" spans="1:7" x14ac:dyDescent="0.25">
      <c r="A27" s="15">
        <v>2910</v>
      </c>
      <c r="B27" s="25" t="str">
        <f>IFERROR(VLOOKUP(A27,'BRI Insert'!A:C,3,FALSE),(VLOOKUP(A27,'Product Names BRI'!A:B,2,FALSE)))</f>
        <v>NSA LOLLIPOPS</v>
      </c>
      <c r="C27" s="26">
        <f>IFERROR(VLOOKUP(A27,'BRI Insert'!A:D,4,FALSE),MISC!A16)</f>
        <v>0</v>
      </c>
      <c r="E27" s="15" t="s">
        <v>1069</v>
      </c>
      <c r="F27" s="25" t="str">
        <f>IFERROR(VLOOKUP(E27,'BRI Insert'!A:C,3,FALSE),(VLOOKUP(E27,'Product Names BRI'!A:B,2,FALSE)))</f>
        <v>-</v>
      </c>
      <c r="G27" s="25">
        <f>IFERROR(VLOOKUP(E27,'BRI Insert'!A:D,4,FALSE),MISC!A3)</f>
        <v>0</v>
      </c>
    </row>
    <row r="28" spans="1:7" x14ac:dyDescent="0.25">
      <c r="A28" s="15">
        <v>2911</v>
      </c>
      <c r="B28" s="25" t="str">
        <f>IFERROR(VLOOKUP(A28,'BRI Insert'!A:C,3,FALSE),(VLOOKUP(A28,'Product Names BRI'!A:B,2,FALSE)))</f>
        <v>NSA RAINBOW POPS</v>
      </c>
      <c r="C28" s="26">
        <f>IFERROR(VLOOKUP(A28,'BRI Insert'!A:D,4,FALSE),MISC!A30)</f>
        <v>0</v>
      </c>
      <c r="E28" s="15" t="s">
        <v>1069</v>
      </c>
      <c r="F28" s="25" t="str">
        <f>IFERROR(VLOOKUP(E28,'BRI Insert'!A:C,3,FALSE),(VLOOKUP(E28,'Product Names BRI'!A:B,2,FALSE)))</f>
        <v>-</v>
      </c>
      <c r="G28" s="25">
        <f>IFERROR(VLOOKUP(E28,'BRI Insert'!A:D,4,FALSE),MISC!A15)</f>
        <v>0</v>
      </c>
    </row>
    <row r="29" spans="1:7" x14ac:dyDescent="0.25">
      <c r="A29" s="15">
        <v>12536</v>
      </c>
      <c r="B29" s="25" t="str">
        <f>IFERROR(VLOOKUP(A29,'BRI Insert'!A:C,3,FALSE),(VLOOKUP(A29,'Product Names BRI'!A:B,2,FALSE)))</f>
        <v>STICK CANDY LICORICE</v>
      </c>
      <c r="C29" s="26">
        <f>IFERROR(VLOOKUP(A29,'BRI Insert'!A:D,4,FALSE),MISC!A10)</f>
        <v>0.25</v>
      </c>
      <c r="E29" s="15" t="s">
        <v>1069</v>
      </c>
      <c r="F29" s="25" t="str">
        <f>IFERROR(VLOOKUP(E29,'BRI Insert'!A:C,3,FALSE),(VLOOKUP(E29,'Product Names BRI'!A:B,2,FALSE)))</f>
        <v>-</v>
      </c>
      <c r="G29" s="25">
        <f>IFERROR(VLOOKUP(E29,'BRI Insert'!A:D,4,FALSE),MISC!A2)</f>
        <v>0</v>
      </c>
    </row>
    <row r="30" spans="1:7" x14ac:dyDescent="0.25">
      <c r="A30" s="15">
        <v>12541</v>
      </c>
      <c r="B30" s="25" t="e">
        <f>IFERROR(VLOOKUP(A30,'BRI Insert'!A:C,3,FALSE),(VLOOKUP(A30,'Product Names BRI'!A:B,2,FALSE)))</f>
        <v>#N/A</v>
      </c>
      <c r="C30" s="26">
        <f>IFERROR(VLOOKUP(A30,'BRI Insert'!A:D,4,FALSE),MISC!A34)</f>
        <v>0</v>
      </c>
      <c r="E30" s="15" t="s">
        <v>1069</v>
      </c>
      <c r="F30" s="25" t="str">
        <f>IFERROR(VLOOKUP(E30,'BRI Insert'!A:C,3,FALSE),(VLOOKUP(E30,'Product Names BRI'!A:B,2,FALSE)))</f>
        <v>-</v>
      </c>
      <c r="G30" s="25">
        <f>IFERROR(VLOOKUP(E30,'BRI Insert'!A:D,4,FALSE),MISC!A11)</f>
        <v>0</v>
      </c>
    </row>
    <row r="31" spans="1:7" x14ac:dyDescent="0.25">
      <c r="A31" s="15">
        <v>12939</v>
      </c>
      <c r="B31" s="25" t="e">
        <f>IFERROR(VLOOKUP(A31,'BRI Insert'!A:C,3,FALSE),(VLOOKUP(A31,'Product Names BRI'!A:B,2,FALSE)))</f>
        <v>#N/A</v>
      </c>
      <c r="C31" s="26">
        <f>IFERROR(VLOOKUP(A31,'BRI Insert'!A:D,4,FALSE),MISC!A9)</f>
        <v>0</v>
      </c>
      <c r="E31" s="15" t="s">
        <v>1069</v>
      </c>
      <c r="F31" s="25" t="str">
        <f>IFERROR(VLOOKUP(E31,'BRI Insert'!A:C,3,FALSE),(VLOOKUP(E31,'Product Names BRI'!A:B,2,FALSE)))</f>
        <v>-</v>
      </c>
      <c r="G31" s="25">
        <f>IFERROR(VLOOKUP(E31,'BRI Insert'!A:D,4,FALSE),MISC!A37)</f>
        <v>0</v>
      </c>
    </row>
    <row r="32" spans="1:7" x14ac:dyDescent="0.25">
      <c r="A32" s="15">
        <v>13740</v>
      </c>
      <c r="B32" s="25" t="str">
        <f>IFERROR(VLOOKUP(A32,'BRI Insert'!A:C,3,FALSE),(VLOOKUP(A32,'Product Names BRI'!A:B,2,FALSE)))</f>
        <v>ROCK CANDY ORANGE</v>
      </c>
      <c r="C32" s="26">
        <f>IFERROR(VLOOKUP(A32,'BRI Insert'!A:D,4,FALSE),MISC!A28)</f>
        <v>0</v>
      </c>
      <c r="E32" s="15" t="s">
        <v>1069</v>
      </c>
      <c r="F32" s="25" t="str">
        <f>IFERROR(VLOOKUP(E32,'BRI Insert'!A:C,3,FALSE),(VLOOKUP(E32,'Product Names BRI'!A:B,2,FALSE)))</f>
        <v>-</v>
      </c>
      <c r="G32" s="25">
        <f>IFERROR(VLOOKUP(E32,'BRI Insert'!A:D,4,FALSE),MISC!A38)</f>
        <v>0</v>
      </c>
    </row>
    <row r="33" spans="1:7" x14ac:dyDescent="0.25">
      <c r="A33" s="15">
        <v>13747</v>
      </c>
      <c r="B33" s="25" t="str">
        <f>IFERROR(VLOOKUP(A33,'BRI Insert'!A:C,3,FALSE),(VLOOKUP(A33,'Product Names BRI'!A:B,2,FALSE)))</f>
        <v>ROCK CANDY ROOTBEER</v>
      </c>
      <c r="C33" s="26">
        <f>IFERROR(VLOOKUP(A33,'BRI Insert'!A:D,4,FALSE),MISC!A14)</f>
        <v>0</v>
      </c>
      <c r="E33" s="15" t="s">
        <v>1069</v>
      </c>
      <c r="F33" s="25" t="str">
        <f>IFERROR(VLOOKUP(E33,'BRI Insert'!A:C,3,FALSE),(VLOOKUP(E33,'Product Names BRI'!A:B,2,FALSE)))</f>
        <v>-</v>
      </c>
      <c r="G33" s="25">
        <f>IFERROR(VLOOKUP(E33,'BRI Insert'!A:D,4,FALSE),MISC!A39)</f>
        <v>0</v>
      </c>
    </row>
    <row r="34" spans="1:7" x14ac:dyDescent="0.25">
      <c r="A34" s="15">
        <v>13743</v>
      </c>
      <c r="B34" s="25" t="str">
        <f>IFERROR(VLOOKUP(A34,'BRI Insert'!A:C,3,FALSE),(VLOOKUP(A34,'Product Names BRI'!A:B,2,FALSE)))</f>
        <v>ALL ROCK CANDY</v>
      </c>
      <c r="C34" s="26">
        <f>IFERROR(VLOOKUP(A34,'BRI Insert'!A:D,4,FALSE),MISC!A39)</f>
        <v>0</v>
      </c>
      <c r="E34" s="15" t="s">
        <v>1069</v>
      </c>
      <c r="F34" s="25" t="str">
        <f>IFERROR(VLOOKUP(E34,'BRI Insert'!A:C,3,FALSE),(VLOOKUP(E34,'Product Names BRI'!A:B,2,FALSE)))</f>
        <v>-</v>
      </c>
      <c r="G34" s="25">
        <f>IFERROR(VLOOKUP(E34,'BRI Insert'!A:D,4,FALSE),MISC!A27)</f>
        <v>0</v>
      </c>
    </row>
    <row r="35" spans="1:7" x14ac:dyDescent="0.25">
      <c r="A35" s="15">
        <v>13742</v>
      </c>
      <c r="B35" s="25" t="str">
        <f>IFERROR(VLOOKUP(A35,'BRI Insert'!A:C,3,FALSE),(VLOOKUP(A35,'Product Names BRI'!A:B,2,FALSE)))</f>
        <v>ROCK CANDY LIME</v>
      </c>
      <c r="C35" s="26">
        <f>IFERROR(VLOOKUP(A35,'BRI Insert'!A:D,4,FALSE),MISC!A32)</f>
        <v>0</v>
      </c>
      <c r="E35" s="15" t="s">
        <v>1069</v>
      </c>
      <c r="F35" s="25" t="str">
        <f>IFERROR(VLOOKUP(E35,'BRI Insert'!A:C,3,FALSE),(VLOOKUP(E35,'Product Names BRI'!A:B,2,FALSE)))</f>
        <v>-</v>
      </c>
      <c r="G35" s="25">
        <f>IFERROR(VLOOKUP(E35,'BRI Insert'!A:D,4,FALSE),MISC!A28)</f>
        <v>0</v>
      </c>
    </row>
    <row r="36" spans="1:7" x14ac:dyDescent="0.25">
      <c r="A36" s="15">
        <v>13741</v>
      </c>
      <c r="B36" s="25" t="str">
        <f>IFERROR(VLOOKUP(A36,'BRI Insert'!A:C,3,FALSE),(VLOOKUP(A36,'Product Names BRI'!A:B,2,FALSE)))</f>
        <v>ROCK CANDY WATERMELON</v>
      </c>
      <c r="C36" s="26">
        <f>IFERROR(VLOOKUP(A36,'BRI Insert'!A:D,4,FALSE),MISC!A36)</f>
        <v>0</v>
      </c>
      <c r="E36" s="15" t="s">
        <v>1069</v>
      </c>
      <c r="F36" s="25" t="str">
        <f>IFERROR(VLOOKUP(E36,'BRI Insert'!A:C,3,FALSE),(VLOOKUP(E36,'Product Names BRI'!A:B,2,FALSE)))</f>
        <v>-</v>
      </c>
      <c r="G36" s="25">
        <f>IFERROR(VLOOKUP(E36,'BRI Insert'!A:D,4,FALSE),MISC!A29)</f>
        <v>0</v>
      </c>
    </row>
    <row r="37" spans="1:7" x14ac:dyDescent="0.25">
      <c r="A37" s="15">
        <v>13744</v>
      </c>
      <c r="B37" s="25" t="str">
        <f>IFERROR(VLOOKUP(A37,'BRI Insert'!A:C,3,FALSE),(VLOOKUP(A37,'Product Names BRI'!A:B,2,FALSE)))</f>
        <v>ROCK CANDY LEMON</v>
      </c>
      <c r="C37" s="26">
        <f>IFERROR(VLOOKUP(A37,'BRI Insert'!A:D,4,FALSE),MISC!A35)</f>
        <v>0</v>
      </c>
      <c r="E37" s="15" t="s">
        <v>1069</v>
      </c>
      <c r="F37" s="25" t="str">
        <f>IFERROR(VLOOKUP(E37,'BRI Insert'!A:C,3,FALSE),(VLOOKUP(E37,'Product Names BRI'!A:B,2,FALSE)))</f>
        <v>-</v>
      </c>
      <c r="G37" s="25">
        <f>IFERROR(VLOOKUP(E37,'BRI Insert'!A:D,4,FALSE),MISC!A30)</f>
        <v>0</v>
      </c>
    </row>
    <row r="38" spans="1:7" x14ac:dyDescent="0.25">
      <c r="A38" s="15">
        <v>12533</v>
      </c>
      <c r="B38" s="25" t="e">
        <f>IFERROR(VLOOKUP(A38,'BRI Insert'!A:C,3,FALSE),(VLOOKUP(A38,'Product Names BRI'!A:B,2,FALSE)))</f>
        <v>#N/A</v>
      </c>
      <c r="C38" s="26">
        <f>IFERROR(VLOOKUP(A38,'BRI Insert'!A:D,4,FALSE),MISC!A11)</f>
        <v>0</v>
      </c>
      <c r="E38" s="15" t="s">
        <v>1069</v>
      </c>
      <c r="F38" s="25" t="str">
        <f>IFERROR(VLOOKUP(E38,'BRI Insert'!A:C,3,FALSE),(VLOOKUP(E38,'Product Names BRI'!A:B,2,FALSE)))</f>
        <v>-</v>
      </c>
      <c r="G38" s="25">
        <f>IFERROR(VLOOKUP(E38,'BRI Insert'!A:D,4,FALSE),MISC!A31)</f>
        <v>0</v>
      </c>
    </row>
    <row r="39" spans="1:7" x14ac:dyDescent="0.25">
      <c r="A39" s="15">
        <v>10656</v>
      </c>
      <c r="B39" s="25" t="e">
        <f>IFERROR(VLOOKUP(A39,'BRI Insert'!A:C,3,FALSE),(VLOOKUP(A39,'Product Names BRI'!A:B,2,FALSE)))</f>
        <v>#N/A</v>
      </c>
      <c r="C39" s="26">
        <f>IFERROR(VLOOKUP(A39,'BRI Insert'!A:D,4,FALSE),MISC!A17)</f>
        <v>0</v>
      </c>
      <c r="E39" s="15" t="s">
        <v>1069</v>
      </c>
      <c r="F39" s="25" t="str">
        <f>IFERROR(VLOOKUP(E39,'BRI Insert'!A:C,3,FALSE),(VLOOKUP(E39,'Product Names BRI'!A:B,2,FALSE)))</f>
        <v>-</v>
      </c>
      <c r="G39" s="25">
        <f>IFERROR(VLOOKUP(E39,'BRI Insert'!A:D,4,FALSE),MISC!A32)</f>
        <v>0</v>
      </c>
    </row>
    <row r="40" spans="1:7" x14ac:dyDescent="0.25">
      <c r="A40" s="15">
        <v>12555</v>
      </c>
      <c r="B40" s="25" t="str">
        <f>IFERROR(VLOOKUP(A40,'BRI Insert'!A:C,3,FALSE),(VLOOKUP(A40,'Product Names BRI'!A:B,2,FALSE)))</f>
        <v>STICK CANDY WATERMELON</v>
      </c>
      <c r="C40" s="26">
        <f>IFERROR(VLOOKUP(A40,'BRI Insert'!A:D,4,FALSE),MISC!A12)</f>
        <v>0.75</v>
      </c>
      <c r="E40" s="15" t="s">
        <v>1069</v>
      </c>
      <c r="F40" s="25" t="str">
        <f>IFERROR(VLOOKUP(E40,'BRI Insert'!A:C,3,FALSE),(VLOOKUP(E40,'Product Names BRI'!A:B,2,FALSE)))</f>
        <v>-</v>
      </c>
      <c r="G40" s="25">
        <f>IFERROR(VLOOKUP(E40,'BRI Insert'!A:D,4,FALSE),MISC!A33)</f>
        <v>0</v>
      </c>
    </row>
    <row r="41" spans="1:7" x14ac:dyDescent="0.25">
      <c r="A41" s="15">
        <v>12530</v>
      </c>
      <c r="B41" s="25" t="e">
        <f>IFERROR(VLOOKUP(A41,'BRI Insert'!A:C,3,FALSE),(VLOOKUP(A41,'Product Names BRI'!A:B,2,FALSE)))</f>
        <v>#N/A</v>
      </c>
      <c r="C41" s="26">
        <f>IFERROR(VLOOKUP(A41,'BRI Insert'!A:D,4,FALSE),MISC!A23)</f>
        <v>0</v>
      </c>
      <c r="E41" s="15" t="s">
        <v>1069</v>
      </c>
      <c r="F41" s="25" t="str">
        <f>IFERROR(VLOOKUP(E41,'BRI Insert'!A:C,3,FALSE),(VLOOKUP(E41,'Product Names BRI'!A:B,2,FALSE)))</f>
        <v>-</v>
      </c>
      <c r="G41" s="25">
        <f>IFERROR(VLOOKUP(E41,'BRI Insert'!A:D,4,FALSE),MISC!A34)</f>
        <v>0</v>
      </c>
    </row>
    <row r="42" spans="1:7" x14ac:dyDescent="0.25">
      <c r="A42" s="15">
        <v>12558</v>
      </c>
      <c r="B42" s="25" t="str">
        <f>IFERROR(VLOOKUP(A42,'BRI Insert'!A:C,3,FALSE),(VLOOKUP(A42,'Product Names BRI'!A:B,2,FALSE)))</f>
        <v>STICK CANDY STRAWBERRY KIWI</v>
      </c>
      <c r="C42" s="26">
        <f>IFERROR(VLOOKUP(A42,'BRI Insert'!A:D,4,FALSE),MISC!A24)</f>
        <v>0.25</v>
      </c>
      <c r="E42" s="15" t="s">
        <v>1069</v>
      </c>
      <c r="F42" s="25" t="str">
        <f>IFERROR(VLOOKUP(E42,'BRI Insert'!A:C,3,FALSE),(VLOOKUP(E42,'Product Names BRI'!A:B,2,FALSE)))</f>
        <v>-</v>
      </c>
      <c r="G42" s="25">
        <f>IFERROR(VLOOKUP(E42,'BRI Insert'!A:D,4,FALSE),MISC!A35)</f>
        <v>0</v>
      </c>
    </row>
    <row r="43" spans="1:7" x14ac:dyDescent="0.25">
      <c r="A43" s="15">
        <v>12547</v>
      </c>
      <c r="B43" s="25" t="str">
        <f>IFERROR(VLOOKUP(A43,'BRI Insert'!A:C,3,FALSE),(VLOOKUP(A43,'Product Names BRI'!A:B,2,FALSE)))</f>
        <v>STICK CANDY TUTTI FRUITTY</v>
      </c>
      <c r="C43" s="26">
        <f>IFERROR(VLOOKUP(A43,'BRI Insert'!A:D,4,FALSE),MISC!A26)</f>
        <v>0.25</v>
      </c>
      <c r="E43" s="15" t="s">
        <v>1069</v>
      </c>
      <c r="F43" s="25" t="str">
        <f>IFERROR(VLOOKUP(E43,'BRI Insert'!A:C,3,FALSE),(VLOOKUP(E43,'Product Names BRI'!A:B,2,FALSE)))</f>
        <v>-</v>
      </c>
      <c r="G43" s="25">
        <f>IFERROR(VLOOKUP(E43,'BRI Insert'!A:D,4,FALSE),MISC!A36)</f>
        <v>0</v>
      </c>
    </row>
  </sheetData>
  <pageMargins left="0.4" right="0.25" top="0.75" bottom="0.75" header="0.3" footer="0.3"/>
  <pageSetup orientation="portrait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49"/>
  <sheetViews>
    <sheetView zoomScaleNormal="100" workbookViewId="0">
      <selection activeCell="A5" sqref="A5:A35"/>
    </sheetView>
  </sheetViews>
  <sheetFormatPr defaultRowHeight="15" x14ac:dyDescent="0.25"/>
  <cols>
    <col min="1" max="1" width="4.28515625" customWidth="1"/>
    <col min="2" max="2" width="21.28515625" customWidth="1"/>
    <col min="3" max="3" width="4.5703125" customWidth="1"/>
    <col min="4" max="4" width="3.28515625" customWidth="1"/>
    <col min="5" max="5" width="4.28515625" customWidth="1"/>
    <col min="6" max="6" width="21.28515625" customWidth="1"/>
    <col min="7" max="7" width="4.7109375" customWidth="1"/>
    <col min="8" max="8" width="3.28515625" customWidth="1"/>
    <col min="9" max="9" width="4.7109375" customWidth="1"/>
    <col min="10" max="10" width="21.42578125" customWidth="1"/>
    <col min="11" max="11" width="4.7109375" customWidth="1"/>
  </cols>
  <sheetData>
    <row r="1" spans="1:11" ht="44.25" x14ac:dyDescent="0.25">
      <c r="A1" s="30" t="s">
        <v>1103</v>
      </c>
      <c r="F1" s="3"/>
      <c r="G1" s="3"/>
    </row>
    <row r="2" spans="1:11" ht="6.6" customHeight="1" x14ac:dyDescent="0.25">
      <c r="B2" s="2"/>
      <c r="C2" s="2"/>
      <c r="D2" s="2"/>
      <c r="E2" s="4"/>
      <c r="F2" s="3"/>
      <c r="G2" s="3"/>
    </row>
    <row r="3" spans="1:11" ht="20.25" thickBot="1" x14ac:dyDescent="0.3">
      <c r="A3" s="22" t="s">
        <v>861</v>
      </c>
      <c r="B3" s="23" t="s">
        <v>1104</v>
      </c>
      <c r="C3" s="24" t="s">
        <v>0</v>
      </c>
      <c r="E3" s="41"/>
      <c r="F3" s="42"/>
      <c r="G3" s="43"/>
      <c r="H3" s="3"/>
      <c r="I3" s="41"/>
      <c r="J3" s="42"/>
      <c r="K3" s="43"/>
    </row>
    <row r="4" spans="1:11" x14ac:dyDescent="0.25">
      <c r="A4" s="3"/>
      <c r="B4" s="3"/>
      <c r="C4" s="3"/>
      <c r="E4" s="3"/>
      <c r="F4" s="3"/>
      <c r="G4" s="3"/>
      <c r="I4" s="3"/>
      <c r="J4" s="3"/>
      <c r="K4" s="3"/>
    </row>
    <row r="5" spans="1:11" x14ac:dyDescent="0.25">
      <c r="A5" s="37">
        <v>800</v>
      </c>
      <c r="B5" s="36" t="str">
        <f>IFERROR(VLOOKUP(A5,'BRI Insert'!A:C,3,FALSE),(VLOOKUP(A5,'Product Names BRI'!A:B,2,FALSE)))</f>
        <v>TACO SEASONING MIX</v>
      </c>
      <c r="C5" s="38">
        <f>IFERROR(VLOOKUP(A5,'BRI Insert'!A:D,4,FALSE),MISC!A20)</f>
        <v>0</v>
      </c>
      <c r="E5" s="37">
        <v>895</v>
      </c>
      <c r="F5" s="36" t="str">
        <f>IFERROR(VLOOKUP(E5,'BRI Insert'!A:C,3,FALSE),(VLOOKUP(E5,'Product Names BRI'!A:B,2,FALSE)))</f>
        <v>PINK PEPPERCORNS</v>
      </c>
      <c r="G5" s="36">
        <f>IFERROR(VLOOKUP(E5,'BRI Insert'!A:D,4,FALSE),MISC!A1)</f>
        <v>0</v>
      </c>
      <c r="I5" s="37">
        <v>972</v>
      </c>
      <c r="J5" s="36" t="str">
        <f>IFERROR(VLOOKUP(I5,'BRI Insert'!A:C,3,FALSE),(VLOOKUP(I5,'Product Names BRI'!A:B,2,FALSE)))</f>
        <v>ORANGE SPRINKLES</v>
      </c>
      <c r="K5" s="36">
        <f>IFERROR(VLOOKUP(I5,'BRI Insert'!A:D,4,FALSE),MISC!A1)</f>
        <v>2.5</v>
      </c>
    </row>
    <row r="6" spans="1:11" x14ac:dyDescent="0.25">
      <c r="A6" s="37">
        <v>801</v>
      </c>
      <c r="B6" s="36" t="str">
        <f>IFERROR(VLOOKUP(A6,'BRI Insert'!A:C,3,FALSE),(VLOOKUP(A6,'Product Names BRI'!A:B,2,FALSE)))</f>
        <v>STAR ANISE</v>
      </c>
      <c r="C6" s="38">
        <f>IFERROR(VLOOKUP(A6,'BRI Insert'!A:D,4,FALSE),MISC!A25)</f>
        <v>0</v>
      </c>
      <c r="E6" s="37">
        <v>896</v>
      </c>
      <c r="F6" s="36" t="str">
        <f>IFERROR(VLOOKUP(E6,'BRI Insert'!A:C,3,FALSE),(VLOOKUP(E6,'Product Names BRI'!A:B,2,FALSE)))</f>
        <v>TARRAGON RUBBED</v>
      </c>
      <c r="G6" s="36">
        <f>IFERROR(VLOOKUP(E6,'BRI Insert'!A:D,4,FALSE),MISC!A13)</f>
        <v>0</v>
      </c>
      <c r="I6" s="37">
        <v>973</v>
      </c>
      <c r="J6" s="36" t="str">
        <f>IFERROR(VLOOKUP(I6,'BRI Insert'!A:C,3,FALSE),(VLOOKUP(I6,'Product Names BRI'!A:B,2,FALSE)))</f>
        <v>PURPLE SPRINKLES</v>
      </c>
      <c r="K6" s="36">
        <f>IFERROR(VLOOKUP(I6,'BRI Insert'!A:D,4,FALSE),MISC!A2)</f>
        <v>0.25</v>
      </c>
    </row>
    <row r="7" spans="1:11" x14ac:dyDescent="0.25">
      <c r="A7" s="37">
        <v>802</v>
      </c>
      <c r="B7" s="36" t="str">
        <f>IFERROR(VLOOKUP(A7,'BRI Insert'!A:C,3,FALSE),(VLOOKUP(A7,'Product Names BRI'!A:B,2,FALSE)))</f>
        <v>SMOKED PAPRIKA</v>
      </c>
      <c r="C7" s="38">
        <f>IFERROR(VLOOKUP(A7,'BRI Insert'!A:D,4,FALSE),MISC!A21)</f>
        <v>0.75</v>
      </c>
      <c r="E7" s="37">
        <v>897</v>
      </c>
      <c r="F7" s="36" t="str">
        <f>IFERROR(VLOOKUP(E7,'BRI Insert'!A:C,3,FALSE),(VLOOKUP(E7,'Product Names BRI'!A:B,2,FALSE)))</f>
        <v>TURMERIC GROUND</v>
      </c>
      <c r="G7" s="36">
        <f>IFERROR(VLOOKUP(E7,'BRI Insert'!A:D,4,FALSE),MISC!A14)</f>
        <v>0</v>
      </c>
      <c r="I7" s="37">
        <v>978</v>
      </c>
      <c r="J7" s="36" t="str">
        <f>IFERROR(VLOOKUP(I7,'BRI Insert'!A:C,3,FALSE),(VLOOKUP(I7,'Product Names BRI'!A:B,2,FALSE)))</f>
        <v>THYME RUBBED</v>
      </c>
      <c r="K7" s="36">
        <f>IFERROR(VLOOKUP(I7,'BRI Insert'!A:D,4,FALSE),MISC!A3)</f>
        <v>0.5</v>
      </c>
    </row>
    <row r="8" spans="1:11" x14ac:dyDescent="0.25">
      <c r="A8" s="37">
        <v>803</v>
      </c>
      <c r="B8" s="36" t="str">
        <f>IFERROR(VLOOKUP(A8,'BRI Insert'!A:C,3,FALSE),(VLOOKUP(A8,'Product Names BRI'!A:B,2,FALSE)))</f>
        <v>HERB DE PROVENCE</v>
      </c>
      <c r="C8" s="38">
        <f>IFERROR(VLOOKUP(A8,'BRI Insert'!A:D,4,FALSE),MISC!A13)</f>
        <v>0</v>
      </c>
      <c r="E8" s="37">
        <v>899</v>
      </c>
      <c r="F8" s="36" t="str">
        <f>IFERROR(VLOOKUP(E8,'BRI Insert'!A:C,3,FALSE),(VLOOKUP(E8,'Product Names BRI'!A:B,2,FALSE)))</f>
        <v>GARLIC SALT</v>
      </c>
      <c r="G8" s="36">
        <f>IFERROR(VLOOKUP(E8,'BRI Insert'!A:D,4,FALSE),MISC!A12)</f>
        <v>0.25</v>
      </c>
      <c r="I8" s="37">
        <v>980</v>
      </c>
      <c r="J8" s="36" t="str">
        <f>IFERROR(VLOOKUP(I8,'BRI Insert'!A:C,3,FALSE),(VLOOKUP(I8,'Product Names BRI'!A:B,2,FALSE)))</f>
        <v>SWEET BASIL RUBBED</v>
      </c>
      <c r="K8" s="36">
        <f>IFERROR(VLOOKUP(I8,'BRI Insert'!A:D,4,FALSE),MISC!A4)</f>
        <v>0.75</v>
      </c>
    </row>
    <row r="9" spans="1:11" x14ac:dyDescent="0.25">
      <c r="A9" s="37">
        <v>805</v>
      </c>
      <c r="B9" s="36" t="str">
        <f>IFERROR(VLOOKUP(A9,'BRI Insert'!A:C,3,FALSE),(VLOOKUP(A9,'Product Names BRI'!A:B,2,FALSE)))</f>
        <v>MONTREAL STEAK SPICE</v>
      </c>
      <c r="C9" s="38">
        <f>IFERROR(VLOOKUP(A9,'BRI Insert'!A:D,4,FALSE),MISC!A27)</f>
        <v>0.5</v>
      </c>
      <c r="E9" s="37">
        <v>900</v>
      </c>
      <c r="F9" s="36" t="str">
        <f>IFERROR(VLOOKUP(E9,'BRI Insert'!A:C,3,FALSE),(VLOOKUP(E9,'Product Names BRI'!A:B,2,FALSE)))</f>
        <v>GROUND BLACK PEPPER</v>
      </c>
      <c r="G9" s="36">
        <f>IFERROR(VLOOKUP(E9,'BRI Insert'!A:D,4,FALSE),MISC!A8)</f>
        <v>0.25</v>
      </c>
      <c r="I9" s="37">
        <v>981</v>
      </c>
      <c r="J9" s="36" t="str">
        <f>IFERROR(VLOOKUP(I9,'BRI Insert'!A:C,3,FALSE),(VLOOKUP(I9,'Product Names BRI'!A:B,2,FALSE)))</f>
        <v>GROUND CUMIN SEED</v>
      </c>
      <c r="K9" s="36">
        <f>IFERROR(VLOOKUP(I9,'BRI Insert'!A:D,4,FALSE),MISC!A5)</f>
        <v>0.25</v>
      </c>
    </row>
    <row r="10" spans="1:11" x14ac:dyDescent="0.25">
      <c r="A10" s="37">
        <v>807</v>
      </c>
      <c r="B10" s="36" t="str">
        <f>IFERROR(VLOOKUP(A10,'BRI Insert'!A:C,3,FALSE),(VLOOKUP(A10,'Product Names BRI'!A:B,2,FALSE)))</f>
        <v>JAMAICAN JERK SEASONING</v>
      </c>
      <c r="C10" s="38">
        <f>IFERROR(VLOOKUP(A10,'BRI Insert'!A:D,4,FALSE),MISC!A4)</f>
        <v>0</v>
      </c>
      <c r="E10" s="37">
        <v>901</v>
      </c>
      <c r="F10" s="36" t="str">
        <f>IFERROR(VLOOKUP(E10,'BRI Insert'!A:C,3,FALSE),(VLOOKUP(E10,'Product Names BRI'!A:B,2,FALSE)))</f>
        <v>WHOLE BLACK PEPPER</v>
      </c>
      <c r="G10" s="36">
        <f>IFERROR(VLOOKUP(E10,'BRI Insert'!A:D,4,FALSE),MISC!A10)</f>
        <v>0.75</v>
      </c>
      <c r="I10" s="37">
        <v>982</v>
      </c>
      <c r="J10" s="36" t="str">
        <f>IFERROR(VLOOKUP(I10,'BRI Insert'!A:C,3,FALSE),(VLOOKUP(I10,'Product Names BRI'!A:B,2,FALSE)))</f>
        <v>GROUND CORIANDER SEED</v>
      </c>
      <c r="K10" s="36">
        <f>IFERROR(VLOOKUP(I10,'BRI Insert'!A:D,4,FALSE),MISC!A6)</f>
        <v>0.75</v>
      </c>
    </row>
    <row r="11" spans="1:11" x14ac:dyDescent="0.25">
      <c r="A11" s="37">
        <v>808</v>
      </c>
      <c r="B11" s="36" t="str">
        <f>IFERROR(VLOOKUP(A11,'BRI Insert'!A:C,3,FALSE),(VLOOKUP(A11,'Product Names BRI'!A:B,2,FALSE)))</f>
        <v>TANDOORI MASALA</v>
      </c>
      <c r="C11" s="38">
        <f>IFERROR(VLOOKUP(A11,'BRI Insert'!A:D,4,FALSE),MISC!A8)</f>
        <v>0</v>
      </c>
      <c r="E11" s="37">
        <v>902</v>
      </c>
      <c r="F11" s="36" t="str">
        <f>IFERROR(VLOOKUP(E11,'BRI Insert'!A:C,3,FALSE),(VLOOKUP(E11,'Product Names BRI'!A:B,2,FALSE)))</f>
        <v>ONION POWDER</v>
      </c>
      <c r="G11" s="36">
        <f>IFERROR(VLOOKUP(E11,'BRI Insert'!A:D,4,FALSE),MISC!A4)</f>
        <v>0.75</v>
      </c>
      <c r="I11" s="37">
        <v>983</v>
      </c>
      <c r="J11" s="36" t="str">
        <f>IFERROR(VLOOKUP(I11,'BRI Insert'!A:C,3,FALSE),(VLOOKUP(I11,'Product Names BRI'!A:B,2,FALSE)))</f>
        <v>MONTREAL CHICKEN SPICE</v>
      </c>
      <c r="K11" s="36">
        <f>IFERROR(VLOOKUP(I11,'BRI Insert'!A:D,4,FALSE),MISC!A7)</f>
        <v>0.75</v>
      </c>
    </row>
    <row r="12" spans="1:11" x14ac:dyDescent="0.25">
      <c r="A12" s="37">
        <v>816</v>
      </c>
      <c r="B12" s="36" t="str">
        <f>IFERROR(VLOOKUP(A12,'BRI Insert'!A:C,3,FALSE),(VLOOKUP(A12,'Product Names BRI'!A:B,2,FALSE)))</f>
        <v>SOUTHERN STYLE PORK RUB</v>
      </c>
      <c r="C12" s="38">
        <f>IFERROR(VLOOKUP(A12,'BRI Insert'!A:D,4,FALSE),MISC!A19)</f>
        <v>0</v>
      </c>
      <c r="E12" s="37">
        <v>903</v>
      </c>
      <c r="F12" s="36" t="str">
        <f>IFERROR(VLOOKUP(E12,'BRI Insert'!A:C,3,FALSE),(VLOOKUP(E12,'Product Names BRI'!A:B,2,FALSE)))</f>
        <v>RUBBED OREGANO</v>
      </c>
      <c r="G12" s="36">
        <f>IFERROR(VLOOKUP(E12,'BRI Insert'!A:D,4,FALSE),MISC!A7)</f>
        <v>0</v>
      </c>
      <c r="I12" s="37">
        <v>984</v>
      </c>
      <c r="J12" s="36" t="str">
        <f>IFERROR(VLOOKUP(I12,'BRI Insert'!A:C,3,FALSE),(VLOOKUP(I12,'Product Names BRI'!A:B,2,FALSE)))</f>
        <v>WHTE CHED. POPCORN SEASONING</v>
      </c>
      <c r="K12" s="36">
        <f>IFERROR(VLOOKUP(I12,'BRI Insert'!A:D,4,FALSE),MISC!A8)</f>
        <v>0</v>
      </c>
    </row>
    <row r="13" spans="1:11" x14ac:dyDescent="0.25">
      <c r="A13" s="37">
        <v>828</v>
      </c>
      <c r="B13" s="36" t="str">
        <f>IFERROR(VLOOKUP(A13,'BRI Insert'!A:C,3,FALSE),(VLOOKUP(A13,'Product Names BRI'!A:B,2,FALSE)))</f>
        <v>FENUGREEK SEEDS</v>
      </c>
      <c r="C13" s="38">
        <f>IFERROR(VLOOKUP(A13,'BRI Insert'!A:D,4,FALSE),MISC!A31)</f>
        <v>0</v>
      </c>
      <c r="E13" s="37">
        <v>904</v>
      </c>
      <c r="F13" s="36" t="str">
        <f>IFERROR(VLOOKUP(E13,'BRI Insert'!A:C,3,FALSE),(VLOOKUP(E13,'Product Names BRI'!A:B,2,FALSE)))</f>
        <v>CURRY POWDER</v>
      </c>
      <c r="G13" s="36">
        <f>IFERROR(VLOOKUP(E13,'BRI Insert'!A:D,4,FALSE),MISC!A20)</f>
        <v>0</v>
      </c>
      <c r="I13" s="37">
        <v>986</v>
      </c>
      <c r="J13" s="36" t="str">
        <f>IFERROR(VLOOKUP(I13,'BRI Insert'!A:C,3,FALSE),(VLOOKUP(I13,'Product Names BRI'!A:B,2,FALSE)))</f>
        <v>SOUR CREME/ONIONS POPCORN</v>
      </c>
      <c r="K13" s="36">
        <f>IFERROR(VLOOKUP(I13,'BRI Insert'!A:D,4,FALSE),MISC!A9)</f>
        <v>0</v>
      </c>
    </row>
    <row r="14" spans="1:11" x14ac:dyDescent="0.25">
      <c r="A14" s="37">
        <v>841</v>
      </c>
      <c r="B14" s="36" t="str">
        <f>IFERROR(VLOOKUP(A14,'BRI Insert'!A:C,3,FALSE),(VLOOKUP(A14,'Product Names BRI'!A:B,2,FALSE)))</f>
        <v>WHOLE ALLSPICE</v>
      </c>
      <c r="C14" s="38">
        <f>IFERROR(VLOOKUP(A14,'BRI Insert'!A:D,4,FALSE),MISC!A15)</f>
        <v>0.5</v>
      </c>
      <c r="E14" s="37">
        <v>905</v>
      </c>
      <c r="F14" s="36" t="str">
        <f>IFERROR(VLOOKUP(E14,'BRI Insert'!A:C,3,FALSE),(VLOOKUP(E14,'Product Names BRI'!A:B,2,FALSE)))</f>
        <v>ITALIAN SEASONING</v>
      </c>
      <c r="G14" s="36">
        <f>IFERROR(VLOOKUP(E14,'BRI Insert'!A:D,4,FALSE),MISC!A21)</f>
        <v>0</v>
      </c>
      <c r="I14" s="37">
        <v>988</v>
      </c>
      <c r="J14" s="36" t="str">
        <f>IFERROR(VLOOKUP(I14,'BRI Insert'!A:C,3,FALSE),(VLOOKUP(I14,'Product Names BRI'!A:B,2,FALSE)))</f>
        <v>BUTTER SALT FOR POPCORN</v>
      </c>
      <c r="K14" s="36">
        <f>IFERROR(VLOOKUP(I14,'BRI Insert'!A:D,4,FALSE),MISC!A10)</f>
        <v>0</v>
      </c>
    </row>
    <row r="15" spans="1:11" x14ac:dyDescent="0.25">
      <c r="A15" s="37">
        <v>842</v>
      </c>
      <c r="B15" s="36" t="str">
        <f>IFERROR(VLOOKUP(A15,'BRI Insert'!A:C,3,FALSE),(VLOOKUP(A15,'Product Names BRI'!A:B,2,FALSE)))</f>
        <v>GROUND ALLSPICE</v>
      </c>
      <c r="C15" s="38">
        <f>IFERROR(VLOOKUP(A15,'BRI Insert'!A:D,4,FALSE),MISC!A18)</f>
        <v>0.25</v>
      </c>
      <c r="E15" s="37">
        <v>906</v>
      </c>
      <c r="F15" s="36" t="str">
        <f>IFERROR(VLOOKUP(E15,'BRI Insert'!A:C,3,FALSE),(VLOOKUP(E15,'Product Names BRI'!A:B,2,FALSE)))</f>
        <v>PICKLING SPICE</v>
      </c>
      <c r="G15" s="36">
        <f>IFERROR(VLOOKUP(E15,'BRI Insert'!A:D,4,FALSE),MISC!A9)</f>
        <v>0</v>
      </c>
      <c r="I15" s="37">
        <v>993</v>
      </c>
      <c r="J15" s="36" t="str">
        <f>IFERROR(VLOOKUP(I15,'BRI Insert'!A:C,3,FALSE),(VLOOKUP(I15,'Product Names BRI'!A:B,2,FALSE)))</f>
        <v>GRATED ORANGE PEEL</v>
      </c>
      <c r="K15" s="36">
        <f>IFERROR(VLOOKUP(I15,'BRI Insert'!A:D,4,FALSE),MISC!A11)</f>
        <v>0</v>
      </c>
    </row>
    <row r="16" spans="1:11" x14ac:dyDescent="0.25">
      <c r="A16" s="37">
        <v>843</v>
      </c>
      <c r="B16" s="36" t="str">
        <f>IFERROR(VLOOKUP(A16,'BRI Insert'!A:C,3,FALSE),(VLOOKUP(A16,'Product Names BRI'!A:B,2,FALSE)))</f>
        <v>WHOLE ANISE SEED</v>
      </c>
      <c r="C16" s="38">
        <f>IFERROR(VLOOKUP(A16,'BRI Insert'!A:D,4,FALSE),MISC!A6)</f>
        <v>0.75</v>
      </c>
      <c r="E16" s="37">
        <v>907</v>
      </c>
      <c r="F16" s="36" t="str">
        <f>IFERROR(VLOOKUP(E16,'BRI Insert'!A:C,3,FALSE),(VLOOKUP(E16,'Product Names BRI'!A:B,2,FALSE)))</f>
        <v>SEASONED SALT</v>
      </c>
      <c r="G16" s="36">
        <f>IFERROR(VLOOKUP(E16,'BRI Insert'!A:D,4,FALSE),MISC!A17)</f>
        <v>0</v>
      </c>
      <c r="I16" s="37">
        <v>995</v>
      </c>
      <c r="J16" s="36" t="str">
        <f>IFERROR(VLOOKUP(I16,'BRI Insert'!A:C,3,FALSE),(VLOOKUP(I16,'Product Names BRI'!A:B,2,FALSE)))</f>
        <v>FIVE SPICE</v>
      </c>
      <c r="K16" s="36">
        <f>IFERROR(VLOOKUP(I16,'BRI Insert'!A:D,4,FALSE),MISC!A12)</f>
        <v>0</v>
      </c>
    </row>
    <row r="17" spans="1:11" x14ac:dyDescent="0.25">
      <c r="A17" s="37">
        <v>845</v>
      </c>
      <c r="B17" s="36" t="str">
        <f>IFERROR(VLOOKUP(A17,'BRI Insert'!A:C,3,FALSE),(VLOOKUP(A17,'Product Names BRI'!A:B,2,FALSE)))</f>
        <v>ALUM POWDER</v>
      </c>
      <c r="C17" s="38">
        <f>IFERROR(VLOOKUP(A17,'BRI Insert'!A:D,4,FALSE),MISC!A33)</f>
        <v>0.5</v>
      </c>
      <c r="E17" s="37">
        <v>908</v>
      </c>
      <c r="F17" s="36" t="str">
        <f>IFERROR(VLOOKUP(E17,'BRI Insert'!A:C,3,FALSE),(VLOOKUP(E17,'Product Names BRI'!A:B,2,FALSE)))</f>
        <v>GARLIC POWDER</v>
      </c>
      <c r="G17" s="36">
        <f>IFERROR(VLOOKUP(E17,'BRI Insert'!A:D,4,FALSE),MISC!A18)</f>
        <v>0.25</v>
      </c>
      <c r="I17" s="37">
        <v>996</v>
      </c>
      <c r="J17" s="36" t="str">
        <f>IFERROR(VLOOKUP(I17,'BRI Insert'!A:C,3,FALSE),(VLOOKUP(I17,'Product Names BRI'!A:B,2,FALSE)))</f>
        <v>HOT MUSTARD POWDER</v>
      </c>
      <c r="K17" s="36">
        <f>IFERROR(VLOOKUP(I17,'BRI Insert'!A:D,4,FALSE),MISC!A13)</f>
        <v>0</v>
      </c>
    </row>
    <row r="18" spans="1:11" x14ac:dyDescent="0.25">
      <c r="A18" s="37">
        <v>848</v>
      </c>
      <c r="B18" s="36" t="str">
        <f>IFERROR(VLOOKUP(A18,'BRI Insert'!A:C,3,FALSE),(VLOOKUP(A18,'Product Names BRI'!A:B,2,FALSE)))</f>
        <v>WHOLE BAY LEAVES</v>
      </c>
      <c r="C18" s="38">
        <f>IFERROR(VLOOKUP(A18,'BRI Insert'!A:D,4,FALSE),MISC!A2)</f>
        <v>0</v>
      </c>
      <c r="E18" s="37">
        <v>909</v>
      </c>
      <c r="F18" s="36" t="str">
        <f>IFERROR(VLOOKUP(E18,'BRI Insert'!A:C,3,FALSE),(VLOOKUP(E18,'Product Names BRI'!A:B,2,FALSE)))</f>
        <v>STEAK SPICE REG.</v>
      </c>
      <c r="G18" s="36">
        <f>IFERROR(VLOOKUP(E18,'BRI Insert'!A:D,4,FALSE),MISC!A19)</f>
        <v>0</v>
      </c>
      <c r="I18" s="37">
        <v>997</v>
      </c>
      <c r="J18" s="36" t="str">
        <f>IFERROR(VLOOKUP(I18,'BRI Insert'!A:C,3,FALSE),(VLOOKUP(I18,'Product Names BRI'!A:B,2,FALSE)))</f>
        <v>CAJUN SEASONING</v>
      </c>
      <c r="K18" s="36">
        <f>IFERROR(VLOOKUP(I18,'BRI Insert'!A:D,4,FALSE),MISC!A14)</f>
        <v>0</v>
      </c>
    </row>
    <row r="19" spans="1:11" x14ac:dyDescent="0.25">
      <c r="A19" s="37">
        <v>851</v>
      </c>
      <c r="B19" s="36" t="str">
        <f>IFERROR(VLOOKUP(A19,'BRI Insert'!A:C,3,FALSE),(VLOOKUP(A19,'Product Names BRI'!A:B,2,FALSE)))</f>
        <v>CAYENNE PEPPER</v>
      </c>
      <c r="C19" s="38">
        <f>IFERROR(VLOOKUP(A19,'BRI Insert'!A:D,4,FALSE),MISC!A5)</f>
        <v>1</v>
      </c>
      <c r="E19" s="37">
        <v>910</v>
      </c>
      <c r="F19" s="36" t="str">
        <f>IFERROR(VLOOKUP(E19,'BRI Insert'!A:C,3,FALSE),(VLOOKUP(E19,'Product Names BRI'!A:B,2,FALSE)))</f>
        <v>CHILI POWDER</v>
      </c>
      <c r="G19" s="36">
        <f>IFERROR(VLOOKUP(E19,'BRI Insert'!A:D,4,FALSE),MISC!A26)</f>
        <v>0</v>
      </c>
      <c r="I19" s="37">
        <v>2232</v>
      </c>
      <c r="J19" s="36" t="str">
        <f>IFERROR(VLOOKUP(I19,'BRI Insert'!A:C,3,FALSE),(VLOOKUP(I19,'Product Names BRI'!A:B,2,FALSE)))</f>
        <v>CILANTRO FLAKES</v>
      </c>
      <c r="K19" s="36">
        <f>IFERROR(VLOOKUP(I19,'BRI Insert'!A:D,4,FALSE),MISC!A15)</f>
        <v>0</v>
      </c>
    </row>
    <row r="20" spans="1:11" x14ac:dyDescent="0.25">
      <c r="A20" s="37">
        <v>852</v>
      </c>
      <c r="B20" s="36" t="str">
        <f>IFERROR(VLOOKUP(A20,'BRI Insert'!A:C,3,FALSE),(VLOOKUP(A20,'Product Names BRI'!A:B,2,FALSE)))</f>
        <v>WHOLE GREEN CARDAMOM</v>
      </c>
      <c r="C20" s="38">
        <f>IFERROR(VLOOKUP(A20,'BRI Insert'!A:D,4,FALSE),MISC!A22)</f>
        <v>0</v>
      </c>
      <c r="E20" s="37">
        <v>911</v>
      </c>
      <c r="F20" s="36" t="str">
        <f>IFERROR(VLOOKUP(E20,'BRI Insert'!A:C,3,FALSE),(VLOOKUP(E20,'Product Names BRI'!A:B,2,FALSE)))</f>
        <v>CELERY SALT</v>
      </c>
      <c r="G20" s="36">
        <f>IFERROR(VLOOKUP(E20,'BRI Insert'!A:D,4,FALSE),MISC!A16)</f>
        <v>0.5</v>
      </c>
      <c r="I20" s="37">
        <v>2245</v>
      </c>
      <c r="J20" s="36" t="str">
        <f>IFERROR(VLOOKUP(I20,'BRI Insert'!A:C,3,FALSE),(VLOOKUP(I20,'Product Names BRI'!A:B,2,FALSE)))</f>
        <v>HOT PAPRIKA</v>
      </c>
      <c r="K20" s="36">
        <f>IFERROR(VLOOKUP(I20,'BRI Insert'!A:D,4,FALSE),MISC!A16)</f>
        <v>0</v>
      </c>
    </row>
    <row r="21" spans="1:11" x14ac:dyDescent="0.25">
      <c r="A21" s="37">
        <v>853</v>
      </c>
      <c r="B21" s="36" t="str">
        <f>IFERROR(VLOOKUP(A21,'BRI Insert'!A:C,3,FALSE),(VLOOKUP(A21,'Product Names BRI'!A:B,2,FALSE)))</f>
        <v>WHOLE CELERY SEED</v>
      </c>
      <c r="C21" s="38">
        <f>IFERROR(VLOOKUP(A21,'BRI Insert'!A:D,4,FALSE),MISC!A1)</f>
        <v>0</v>
      </c>
      <c r="E21" s="37">
        <v>912</v>
      </c>
      <c r="F21" s="36" t="str">
        <f>IFERROR(VLOOKUP(E21,'BRI Insert'!A:C,3,FALSE),(VLOOKUP(E21,'Product Names BRI'!A:B,2,FALSE)))</f>
        <v>NUTMEG GROUND</v>
      </c>
      <c r="G21" s="36">
        <f>IFERROR(VLOOKUP(E21,'BRI Insert'!A:D,4,FALSE),MISC!A22)</f>
        <v>0.25</v>
      </c>
      <c r="I21" s="37">
        <v>2250</v>
      </c>
      <c r="J21" s="36" t="str">
        <f>IFERROR(VLOOKUP(I21,'BRI Insert'!A:C,3,FALSE),(VLOOKUP(I21,'Product Names BRI'!A:B,2,FALSE)))</f>
        <v>HIMALAYAN PINK SEA SALT</v>
      </c>
      <c r="K21" s="36">
        <f>IFERROR(VLOOKUP(I21,'BRI Insert'!A:D,4,FALSE),MISC!A17)</f>
        <v>0</v>
      </c>
    </row>
    <row r="22" spans="1:11" x14ac:dyDescent="0.25">
      <c r="A22" s="37">
        <v>855</v>
      </c>
      <c r="B22" s="36" t="str">
        <f>IFERROR(VLOOKUP(A22,'BRI Insert'!A:C,3,FALSE),(VLOOKUP(A22,'Product Names BRI'!A:B,2,FALSE)))</f>
        <v>CRUSHED CHILLIES</v>
      </c>
      <c r="C22" s="38">
        <f>IFERROR(VLOOKUP(A22,'BRI Insert'!A:D,4,FALSE),MISC!A7)</f>
        <v>0.25</v>
      </c>
      <c r="E22" s="37">
        <v>913</v>
      </c>
      <c r="F22" s="36" t="str">
        <f>IFERROR(VLOOKUP(E22,'BRI Insert'!A:C,3,FALSE),(VLOOKUP(E22,'Product Names BRI'!A:B,2,FALSE)))</f>
        <v>CINNAMON GROUND</v>
      </c>
      <c r="G22" s="36">
        <f>IFERROR(VLOOKUP(E22,'BRI Insert'!A:D,4,FALSE),MISC!A23)</f>
        <v>0.5</v>
      </c>
      <c r="I22" s="37">
        <v>2252</v>
      </c>
      <c r="J22" s="36" t="str">
        <f>IFERROR(VLOOKUP(I22,'BRI Insert'!A:C,3,FALSE),(VLOOKUP(I22,'Product Names BRI'!A:B,2,FALSE)))</f>
        <v>GROUND SUMAC</v>
      </c>
      <c r="K22" s="36">
        <f>IFERROR(VLOOKUP(I22,'BRI Insert'!A:D,4,FALSE),MISC!A18)</f>
        <v>0</v>
      </c>
    </row>
    <row r="23" spans="1:11" x14ac:dyDescent="0.25">
      <c r="A23" s="37">
        <v>856</v>
      </c>
      <c r="B23" s="36" t="str">
        <f>IFERROR(VLOOKUP(A23,'BRI Insert'!A:C,3,FALSE),(VLOOKUP(A23,'Product Names BRI'!A:B,2,FALSE)))</f>
        <v>WHOLE CHILLIES</v>
      </c>
      <c r="C23" s="38">
        <f>IFERROR(VLOOKUP(A23,'BRI Insert'!A:D,4,FALSE),MISC!A37)</f>
        <v>0</v>
      </c>
      <c r="E23" s="37">
        <v>914</v>
      </c>
      <c r="F23" s="36" t="str">
        <f>IFERROR(VLOOKUP(E23,'BRI Insert'!A:C,3,FALSE),(VLOOKUP(E23,'Product Names BRI'!A:B,2,FALSE)))</f>
        <v>POULTRY SEASONING</v>
      </c>
      <c r="G23" s="36">
        <f>IFERROR(VLOOKUP(E23,'BRI Insert'!A:D,4,FALSE),MISC!A24)</f>
        <v>0</v>
      </c>
      <c r="I23" s="37">
        <v>2276</v>
      </c>
      <c r="J23" s="36" t="str">
        <f>IFERROR(VLOOKUP(I23,'BRI Insert'!A:C,3,FALSE),(VLOOKUP(I23,'Product Names BRI'!A:B,2,FALSE)))</f>
        <v>RIB RUB</v>
      </c>
      <c r="K23" s="36">
        <f>IFERROR(VLOOKUP(I23,'BRI Insert'!A:D,4,FALSE),MISC!A19)</f>
        <v>0</v>
      </c>
    </row>
    <row r="24" spans="1:11" x14ac:dyDescent="0.25">
      <c r="A24" s="37">
        <v>857</v>
      </c>
      <c r="B24" s="36" t="str">
        <f>IFERROR(VLOOKUP(A24,'BRI Insert'!A:C,3,FALSE),(VLOOKUP(A24,'Product Names BRI'!A:B,2,FALSE)))</f>
        <v>CHIVES</v>
      </c>
      <c r="C24" s="38">
        <f>IFERROR(VLOOKUP(A24,'BRI Insert'!A:D,4,FALSE),MISC!A38)</f>
        <v>0.5</v>
      </c>
      <c r="E24" s="37">
        <v>915</v>
      </c>
      <c r="F24" s="36" t="str">
        <f>IFERROR(VLOOKUP(E24,'BRI Insert'!A:C,3,FALSE),(VLOOKUP(E24,'Product Names BRI'!A:B,2,FALSE)))</f>
        <v>SLICED ONION FLAKES</v>
      </c>
      <c r="G24" s="36">
        <f>IFERROR(VLOOKUP(E24,'BRI Insert'!A:D,4,FALSE),MISC!A25)</f>
        <v>0.75</v>
      </c>
      <c r="I24" s="37">
        <v>2302</v>
      </c>
      <c r="J24" s="36" t="str">
        <f>IFERROR(VLOOKUP(I24,'BRI Insert'!A:C,3,FALSE),(VLOOKUP(I24,'Product Names BRI'!A:B,2,FALSE)))</f>
        <v>PULLED PORK SEASONING</v>
      </c>
      <c r="K24" s="36">
        <f>IFERROR(VLOOKUP(I24,'BRI Insert'!A:D,4,FALSE),MISC!A20)</f>
        <v>0.5</v>
      </c>
    </row>
    <row r="25" spans="1:11" x14ac:dyDescent="0.25">
      <c r="A25" s="37">
        <v>860</v>
      </c>
      <c r="B25" s="36" t="str">
        <f>IFERROR(VLOOKUP(A25,'BRI Insert'!A:C,3,FALSE),(VLOOKUP(A25,'Product Names BRI'!A:B,2,FALSE)))</f>
        <v>CLOVES WHOLE</v>
      </c>
      <c r="C25" s="38">
        <f>IFERROR(VLOOKUP(A25,'BRI Insert'!A:D,4,FALSE),MISC!A29)</f>
        <v>0.75</v>
      </c>
      <c r="E25" s="37">
        <v>917</v>
      </c>
      <c r="F25" s="36" t="str">
        <f>IFERROR(VLOOKUP(E25,'BRI Insert'!A:C,3,FALSE),(VLOOKUP(E25,'Product Names BRI'!A:B,2,FALSE)))</f>
        <v>BLACK LEMON PEPPER</v>
      </c>
      <c r="G25" s="36">
        <f>IFERROR(VLOOKUP(E25,'BRI Insert'!A:D,4,FALSE),MISC!A5)</f>
        <v>0</v>
      </c>
      <c r="I25" s="37">
        <v>2381</v>
      </c>
      <c r="J25" s="36" t="str">
        <f>IFERROR(VLOOKUP(I25,'BRI Insert'!A:C,3,FALSE),(VLOOKUP(I25,'Product Names BRI'!A:B,2,FALSE)))</f>
        <v>RICE SEASONING</v>
      </c>
      <c r="K25" s="36">
        <f>IFERROR(VLOOKUP(I25,'BRI Insert'!A:D,4,FALSE),MISC!A21)</f>
        <v>0</v>
      </c>
    </row>
    <row r="26" spans="1:11" x14ac:dyDescent="0.25">
      <c r="A26" s="37">
        <v>861</v>
      </c>
      <c r="B26" s="36" t="str">
        <f>IFERROR(VLOOKUP(A26,'BRI Insert'!A:C,3,FALSE),(VLOOKUP(A26,'Product Names BRI'!A:B,2,FALSE)))</f>
        <v>CLOVES GROUND</v>
      </c>
      <c r="C26" s="38">
        <f>IFERROR(VLOOKUP(A26,'BRI Insert'!A:D,4,FALSE),MISC!A3)</f>
        <v>0</v>
      </c>
      <c r="E26" s="37">
        <v>918</v>
      </c>
      <c r="F26" s="36" t="str">
        <f>IFERROR(VLOOKUP(E26,'BRI Insert'!A:C,3,FALSE),(VLOOKUP(E26,'Product Names BRI'!A:B,2,FALSE)))</f>
        <v>COARSE PEPPER BLACK</v>
      </c>
      <c r="G26" s="36">
        <f>IFERROR(VLOOKUP(E26,'BRI Insert'!A:D,4,FALSE),MISC!A6)</f>
        <v>0.5</v>
      </c>
      <c r="I26" s="37">
        <v>2382</v>
      </c>
      <c r="J26" s="36" t="str">
        <f>IFERROR(VLOOKUP(I26,'BRI Insert'!A:C,3,FALSE),(VLOOKUP(I26,'Product Names BRI'!A:B,2,FALSE)))</f>
        <v>COCONUT THAI SEASONING</v>
      </c>
      <c r="K26" s="36">
        <f>IFERROR(VLOOKUP(I26,'BRI Insert'!A:D,4,FALSE),MISC!A22)</f>
        <v>0.25</v>
      </c>
    </row>
    <row r="27" spans="1:11" x14ac:dyDescent="0.25">
      <c r="A27" s="37">
        <v>862</v>
      </c>
      <c r="B27" s="36" t="str">
        <f>IFERROR(VLOOKUP(A27,'BRI Insert'!A:C,3,FALSE),(VLOOKUP(A27,'Product Names BRI'!A:B,2,FALSE)))</f>
        <v>CARDAMOM GROUND</v>
      </c>
      <c r="C27" s="38">
        <f>IFERROR(VLOOKUP(A27,'BRI Insert'!A:D,4,FALSE),MISC!A16)</f>
        <v>0.5</v>
      </c>
      <c r="E27" s="37">
        <v>919</v>
      </c>
      <c r="F27" s="36" t="str">
        <f>IFERROR(VLOOKUP(E27,'BRI Insert'!A:C,3,FALSE),(VLOOKUP(E27,'Product Names BRI'!A:B,2,FALSE)))</f>
        <v>12" CINNAMON STICKS</v>
      </c>
      <c r="G27" s="36">
        <f>IFERROR(VLOOKUP(E27,'BRI Insert'!A:D,4,FALSE),MISC!A3)</f>
        <v>1</v>
      </c>
      <c r="I27" s="37">
        <v>2383</v>
      </c>
      <c r="J27" s="36" t="str">
        <f>IFERROR(VLOOKUP(I27,'BRI Insert'!A:C,3,FALSE),(VLOOKUP(I27,'Product Names BRI'!A:B,2,FALSE)))</f>
        <v>TERIYAKI SEASONING</v>
      </c>
      <c r="K27" s="36">
        <f>IFERROR(VLOOKUP(I27,'BRI Insert'!A:D,4,FALSE),MISC!A23)</f>
        <v>0</v>
      </c>
    </row>
    <row r="28" spans="1:11" x14ac:dyDescent="0.25">
      <c r="A28" s="37">
        <v>865</v>
      </c>
      <c r="B28" s="36" t="str">
        <f>IFERROR(VLOOKUP(A28,'BRI Insert'!A:C,3,FALSE),(VLOOKUP(A28,'Product Names BRI'!A:B,2,FALSE)))</f>
        <v>WHOLE CORIANDER SEED</v>
      </c>
      <c r="C28" s="38">
        <f>IFERROR(VLOOKUP(A28,'BRI Insert'!A:D,4,FALSE),MISC!A30)</f>
        <v>0</v>
      </c>
      <c r="E28" s="37">
        <v>919</v>
      </c>
      <c r="F28" s="36" t="str">
        <f>IFERROR(VLOOKUP(E28,'BRI Insert'!A:C,3,FALSE),(VLOOKUP(E28,'Product Names BRI'!A:B,2,FALSE)))</f>
        <v>12" CINNAMON STICKS</v>
      </c>
      <c r="G28" s="36">
        <f>IFERROR(VLOOKUP(E28,'BRI Insert'!A:D,4,FALSE),MISC!A15)</f>
        <v>1</v>
      </c>
      <c r="I28" s="37">
        <v>2413</v>
      </c>
      <c r="J28" s="36" t="str">
        <f>IFERROR(VLOOKUP(I28,'BRI Insert'!A:C,3,FALSE),(VLOOKUP(I28,'Product Names BRI'!A:B,2,FALSE)))</f>
        <v>THAI CURRY SEASONING</v>
      </c>
      <c r="K28" s="36">
        <f>IFERROR(VLOOKUP(I28,'BRI Insert'!A:D,4,FALSE),MISC!A24)</f>
        <v>0.75</v>
      </c>
    </row>
    <row r="29" spans="1:11" x14ac:dyDescent="0.25">
      <c r="A29" s="37">
        <v>866</v>
      </c>
      <c r="B29" s="36" t="str">
        <f>IFERROR(VLOOKUP(A29,'BRI Insert'!A:C,3,FALSE),(VLOOKUP(A29,'Product Names BRI'!A:B,2,FALSE)))</f>
        <v>FENNEL SEED WHOLE</v>
      </c>
      <c r="C29" s="38">
        <f>IFERROR(VLOOKUP(A29,'BRI Insert'!A:D,4,FALSE),MISC!A10)</f>
        <v>0.75</v>
      </c>
      <c r="E29" s="37">
        <v>920</v>
      </c>
      <c r="F29" s="36" t="str">
        <f>IFERROR(VLOOKUP(E29,'BRI Insert'!A:C,3,FALSE),(VLOOKUP(E29,'Product Names BRI'!A:B,2,FALSE)))</f>
        <v>GARAM MASALA</v>
      </c>
      <c r="G29" s="36">
        <f>IFERROR(VLOOKUP(E29,'BRI Insert'!A:D,4,FALSE),MISC!A2)</f>
        <v>1</v>
      </c>
      <c r="I29" s="37">
        <v>2426</v>
      </c>
      <c r="J29" s="36" t="str">
        <f>IFERROR(VLOOKUP(I29,'BRI Insert'!A:C,3,FALSE),(VLOOKUP(I29,'Product Names BRI'!A:B,2,FALSE)))</f>
        <v>HUNGARIAN PAPRIKA</v>
      </c>
      <c r="K29" s="36">
        <f>IFERROR(VLOOKUP(I29,'BRI Insert'!A:D,4,FALSE),MISC!A25)</f>
        <v>0.25</v>
      </c>
    </row>
    <row r="30" spans="1:11" x14ac:dyDescent="0.25">
      <c r="A30" s="37">
        <v>867</v>
      </c>
      <c r="B30" s="36" t="str">
        <f>IFERROR(VLOOKUP(A30,'BRI Insert'!A:C,3,FALSE),(VLOOKUP(A30,'Product Names BRI'!A:B,2,FALSE)))</f>
        <v>GRANULATED GARLIC</v>
      </c>
      <c r="C30" s="38">
        <f>IFERROR(VLOOKUP(A30,'BRI Insert'!A:D,4,FALSE),MISC!A34)</f>
        <v>0.75</v>
      </c>
      <c r="E30" s="37">
        <v>924</v>
      </c>
      <c r="F30" s="36" t="str">
        <f>IFERROR(VLOOKUP(E30,'BRI Insert'!A:C,3,FALSE),(VLOOKUP(E30,'Product Names BRI'!A:B,2,FALSE)))</f>
        <v>GRATED LEMON PEEL</v>
      </c>
      <c r="G30" s="36">
        <f>IFERROR(VLOOKUP(E30,'BRI Insert'!A:D,4,FALSE),MISC!A11)</f>
        <v>0.75</v>
      </c>
      <c r="I30" s="37">
        <v>2440</v>
      </c>
      <c r="J30" s="36" t="str">
        <f>IFERROR(VLOOKUP(I30,'BRI Insert'!A:C,3,FALSE),(VLOOKUP(I30,'Product Names BRI'!A:B,2,FALSE)))</f>
        <v>PIRI PIRI SEASONING</v>
      </c>
      <c r="K30" s="36">
        <f>IFERROR(VLOOKUP(I30,'BRI Insert'!A:D,4,FALSE),MISC!A26)</f>
        <v>0.25</v>
      </c>
    </row>
    <row r="31" spans="1:11" x14ac:dyDescent="0.25">
      <c r="A31" s="37">
        <v>868</v>
      </c>
      <c r="B31" s="36" t="str">
        <f>IFERROR(VLOOKUP(A31,'BRI Insert'!A:C,3,FALSE),(VLOOKUP(A31,'Product Names BRI'!A:B,2,FALSE)))</f>
        <v>GARLIC MINCED</v>
      </c>
      <c r="C31" s="38">
        <f>IFERROR(VLOOKUP(A31,'BRI Insert'!A:D,4,FALSE),MISC!A9)</f>
        <v>0</v>
      </c>
      <c r="E31" s="37">
        <v>938</v>
      </c>
      <c r="F31" s="36" t="str">
        <f>IFERROR(VLOOKUP(E31,'BRI Insert'!A:C,3,FALSE),(VLOOKUP(E31,'Product Names BRI'!A:B,2,FALSE)))</f>
        <v>BBQ SEASONING</v>
      </c>
      <c r="G31" s="36">
        <f>IFERROR(VLOOKUP(E31,'BRI Insert'!A:D,4,FALSE),MISC!A37)</f>
        <v>0.75</v>
      </c>
      <c r="I31" s="37">
        <v>2454</v>
      </c>
      <c r="J31" s="36" t="str">
        <f>IFERROR(VLOOKUP(I31,'BRI Insert'!A:C,3,FALSE),(VLOOKUP(I31,'Product Names BRI'!A:B,2,FALSE)))</f>
        <v>SZECHUAN PEPPERCORNS</v>
      </c>
      <c r="K31" s="36">
        <f>IFERROR(VLOOKUP(I31,'BRI Insert'!A:D,4,FALSE),MISC!A27)</f>
        <v>0</v>
      </c>
    </row>
    <row r="32" spans="1:11" x14ac:dyDescent="0.25">
      <c r="A32" s="37">
        <v>870</v>
      </c>
      <c r="B32" s="36" t="str">
        <f>IFERROR(VLOOKUP(A32,'BRI Insert'!A:C,3,FALSE),(VLOOKUP(A32,'Product Names BRI'!A:B,2,FALSE)))</f>
        <v>GINGER GROUND</v>
      </c>
      <c r="C32" s="38">
        <f>IFERROR(VLOOKUP(A32,'BRI Insert'!A:D,4,FALSE),MISC!A28)</f>
        <v>0</v>
      </c>
      <c r="E32" s="37">
        <v>939</v>
      </c>
      <c r="F32" s="36" t="str">
        <f>IFERROR(VLOOKUP(E32,'BRI Insert'!A:C,3,FALSE),(VLOOKUP(E32,'Product Names BRI'!A:B,2,FALSE)))</f>
        <v>FLAKED NUTRITIONAL YEAST</v>
      </c>
      <c r="G32" s="36">
        <f>IFERROR(VLOOKUP(E32,'BRI Insert'!A:D,4,FALSE),MISC!A38)</f>
        <v>0.25</v>
      </c>
      <c r="I32" s="37">
        <v>2571</v>
      </c>
      <c r="J32" s="36" t="str">
        <f>IFERROR(VLOOKUP(I32,'BRI Insert'!A:C,3,FALSE),(VLOOKUP(I32,'Product Names BRI'!A:B,2,FALSE)))</f>
        <v>DILL SEED</v>
      </c>
      <c r="K32" s="36">
        <f>IFERROR(VLOOKUP(I32,'BRI Insert'!A:D,4,FALSE),MISC!A28)</f>
        <v>0</v>
      </c>
    </row>
    <row r="33" spans="1:11" x14ac:dyDescent="0.25">
      <c r="A33" s="37">
        <v>873</v>
      </c>
      <c r="B33" s="36" t="str">
        <f>IFERROR(VLOOKUP(A33,'BRI Insert'!A:C,3,FALSE),(VLOOKUP(A33,'Product Names BRI'!A:B,2,FALSE)))</f>
        <v>MACE GROUND</v>
      </c>
      <c r="C33" s="38">
        <f>IFERROR(VLOOKUP(A33,'BRI Insert'!A:D,4,FALSE),MISC!A14)</f>
        <v>0.75</v>
      </c>
      <c r="E33" s="37">
        <v>940</v>
      </c>
      <c r="F33" s="36" t="str">
        <f>IFERROR(VLOOKUP(E33,'BRI Insert'!A:C,3,FALSE),(VLOOKUP(E33,'Product Names BRI'!A:B,2,FALSE)))</f>
        <v>FLEISCHMANN'S ACTIVE DRY YEAST</v>
      </c>
      <c r="G33" s="36">
        <f>IFERROR(VLOOKUP(E33,'BRI Insert'!A:D,4,FALSE),MISC!A39)</f>
        <v>1</v>
      </c>
      <c r="I33" s="37">
        <v>2573</v>
      </c>
      <c r="J33" s="36" t="str">
        <f>IFERROR(VLOOKUP(I33,'BRI Insert'!A:C,3,FALSE),(VLOOKUP(I33,'Product Names BRI'!A:B,2,FALSE)))</f>
        <v>HARISSA SEASONING</v>
      </c>
      <c r="K33" s="36">
        <f>IFERROR(VLOOKUP(I33,'BRI Insert'!A:D,4,FALSE),MISC!A29)</f>
        <v>0</v>
      </c>
    </row>
    <row r="34" spans="1:11" x14ac:dyDescent="0.25">
      <c r="A34" s="37">
        <v>874</v>
      </c>
      <c r="B34" s="36" t="str">
        <f>IFERROR(VLOOKUP(A34,'BRI Insert'!A:C,3,FALSE),(VLOOKUP(A34,'Product Names BRI'!A:B,2,FALSE)))</f>
        <v>MARJORAM RUBBED</v>
      </c>
      <c r="C34" s="38">
        <f>IFERROR(VLOOKUP(A34,'BRI Insert'!A:D,4,FALSE),MISC!A39)</f>
        <v>0.5</v>
      </c>
      <c r="E34" s="37">
        <v>941</v>
      </c>
      <c r="F34" s="36" t="str">
        <f>IFERROR(VLOOKUP(E34,'BRI Insert'!A:C,3,FALSE),(VLOOKUP(E34,'Product Names BRI'!A:B,2,FALSE)))</f>
        <v>BREWERS YEAST DEBITTERED</v>
      </c>
      <c r="G34" s="36">
        <f>IFERROR(VLOOKUP(E34,'BRI Insert'!A:D,4,FALSE),MISC!A27)</f>
        <v>0.25</v>
      </c>
      <c r="I34" s="37">
        <v>2580</v>
      </c>
      <c r="J34" s="36" t="str">
        <f>IFERROR(VLOOKUP(I34,'BRI Insert'!A:C,3,FALSE),(VLOOKUP(I34,'Product Names BRI'!A:B,2,FALSE)))</f>
        <v>PORTERHOUSE STEAK SEASONING</v>
      </c>
      <c r="K34" s="36">
        <f>IFERROR(VLOOKUP(I34,'BRI Insert'!A:D,4,FALSE),MISC!A30)</f>
        <v>0</v>
      </c>
    </row>
    <row r="35" spans="1:11" x14ac:dyDescent="0.25">
      <c r="A35" s="37">
        <v>876</v>
      </c>
      <c r="B35" s="36" t="str">
        <f>IFERROR(VLOOKUP(A35,'BRI Insert'!A:C,3,FALSE),(VLOOKUP(A35,'Product Names BRI'!A:B,2,FALSE)))</f>
        <v>UNSEASONED MEAT TENDERIZER</v>
      </c>
      <c r="C35" s="38">
        <f>IFERROR(VLOOKUP(A35,'BRI Insert'!A:D,4,FALSE),MISC!A32)</f>
        <v>0</v>
      </c>
      <c r="E35" s="37">
        <v>942</v>
      </c>
      <c r="F35" s="36" t="str">
        <f>IFERROR(VLOOKUP(E35,'BRI Insert'!A:C,3,FALSE),(VLOOKUP(E35,'Product Names BRI'!A:B,2,FALSE)))</f>
        <v>DILL WEED</v>
      </c>
      <c r="G35" s="36">
        <f>IFERROR(VLOOKUP(E35,'BRI Insert'!A:D,4,FALSE),MISC!A28)</f>
        <v>0.75</v>
      </c>
      <c r="I35" s="37">
        <v>2586</v>
      </c>
      <c r="J35" s="36" t="str">
        <f>IFERROR(VLOOKUP(I35,'BRI Insert'!A:C,3,FALSE),(VLOOKUP(I35,'Product Names BRI'!A:B,2,FALSE)))</f>
        <v>SOUVLAKI MIX/MARINADE</v>
      </c>
      <c r="K35" s="36">
        <f>IFERROR(VLOOKUP(I35,'BRI Insert'!A:D,4,FALSE),MISC!A31)</f>
        <v>0.25</v>
      </c>
    </row>
    <row r="36" spans="1:11" x14ac:dyDescent="0.25">
      <c r="A36" s="37">
        <v>877</v>
      </c>
      <c r="B36" s="36" t="str">
        <f>IFERROR(VLOOKUP(A36,'BRI Insert'!A:C,3,FALSE),(VLOOKUP(A36,'Product Names BRI'!A:B,2,FALSE)))</f>
        <v>MINT FLAKES</v>
      </c>
      <c r="C36" s="38">
        <f>IFERROR(VLOOKUP(A36,'BRI Insert'!A:D,4,FALSE),MISC!A36)</f>
        <v>0.5</v>
      </c>
      <c r="E36" s="37">
        <v>943</v>
      </c>
      <c r="F36" s="36" t="str">
        <f>IFERROR(VLOOKUP(E36,'BRI Insert'!A:C,3,FALSE),(VLOOKUP(E36,'Product Names BRI'!A:B,2,FALSE)))</f>
        <v>LECITHIN GRANULES</v>
      </c>
      <c r="G36" s="36">
        <f>IFERROR(VLOOKUP(E36,'BRI Insert'!A:D,4,FALSE),MISC!A29)</f>
        <v>0.25</v>
      </c>
      <c r="I36" s="37">
        <v>2611</v>
      </c>
      <c r="J36" s="36" t="str">
        <f>IFERROR(VLOOKUP(I36,'BRI Insert'!A:C,3,FALSE),(VLOOKUP(I36,'Product Names BRI'!A:B,2,FALSE)))</f>
        <v>SLT &amp;VINEGAR POPCORN SEASONING</v>
      </c>
      <c r="K36" s="36">
        <f>IFERROR(VLOOKUP(I36,'BRI Insert'!A:D,4,FALSE),MISC!A32)</f>
        <v>0.25</v>
      </c>
    </row>
    <row r="37" spans="1:11" x14ac:dyDescent="0.25">
      <c r="A37" s="37">
        <v>878</v>
      </c>
      <c r="B37" s="36" t="str">
        <f>IFERROR(VLOOKUP(A37,'BRI Insert'!A:C,3,FALSE),(VLOOKUP(A37,'Product Names BRI'!A:B,2,FALSE)))</f>
        <v>MONOSODIUM GLUTAMATE(MSG)</v>
      </c>
      <c r="C37" s="38">
        <f>IFERROR(VLOOKUP(A37,'BRI Insert'!A:D,4,FALSE),MISC!A35)</f>
        <v>0</v>
      </c>
      <c r="E37" s="37">
        <v>944</v>
      </c>
      <c r="F37" s="36" t="str">
        <f>IFERROR(VLOOKUP(E37,'BRI Insert'!A:C,3,FALSE),(VLOOKUP(E37,'Product Names BRI'!A:B,2,FALSE)))</f>
        <v>KOSHER SALT SUBSTITUTE</v>
      </c>
      <c r="G37" s="36">
        <f>IFERROR(VLOOKUP(E37,'BRI Insert'!A:D,4,FALSE),MISC!A30)</f>
        <v>0</v>
      </c>
      <c r="I37" s="37">
        <v>2612</v>
      </c>
      <c r="J37" s="36" t="str">
        <f>IFERROR(VLOOKUP(I37,'BRI Insert'!A:C,3,FALSE),(VLOOKUP(I37,'Product Names BRI'!A:B,2,FALSE)))</f>
        <v>JAL. CHEESE POPCORN SEASONING</v>
      </c>
      <c r="K37" s="36">
        <f>IFERROR(VLOOKUP(I37,'BRI Insert'!A:D,4,FALSE),MISC!A33)</f>
        <v>0</v>
      </c>
    </row>
    <row r="38" spans="1:11" x14ac:dyDescent="0.25">
      <c r="A38" s="37">
        <v>880</v>
      </c>
      <c r="B38" s="36" t="str">
        <f>IFERROR(VLOOKUP(A38,'BRI Insert'!A:C,3,FALSE),(VLOOKUP(A38,'Product Names BRI'!A:B,2,FALSE)))</f>
        <v>MUSTARD POWDER</v>
      </c>
      <c r="C38" s="38">
        <f>IFERROR(VLOOKUP(A38,'BRI Insert'!A:D,4,FALSE),MISC!A11)</f>
        <v>0.25</v>
      </c>
      <c r="E38" s="37">
        <v>945</v>
      </c>
      <c r="F38" s="36" t="str">
        <f>IFERROR(VLOOKUP(E38,'BRI Insert'!A:C,3,FALSE),(VLOOKUP(E38,'Product Names BRI'!A:B,2,FALSE)))</f>
        <v>DILL PICKLE POPCORN</v>
      </c>
      <c r="G38" s="36">
        <f>IFERROR(VLOOKUP(E38,'BRI Insert'!A:D,4,FALSE),MISC!A31)</f>
        <v>0</v>
      </c>
      <c r="I38" s="37">
        <v>2613</v>
      </c>
      <c r="J38" s="36" t="str">
        <f>IFERROR(VLOOKUP(I38,'BRI Insert'!A:C,3,FALSE),(VLOOKUP(I38,'Product Names BRI'!A:B,2,FALSE)))</f>
        <v>KETCHUP POPCORN SEASONING</v>
      </c>
      <c r="K38" s="36">
        <f>IFERROR(VLOOKUP(I38,'BRI Insert'!A:D,4,FALSE),MISC!A34)</f>
        <v>0.25</v>
      </c>
    </row>
    <row r="39" spans="1:11" x14ac:dyDescent="0.25">
      <c r="A39" s="37">
        <v>881</v>
      </c>
      <c r="B39" s="36" t="str">
        <f>IFERROR(VLOOKUP(A39,'BRI Insert'!A:C,3,FALSE),(VLOOKUP(A39,'Product Names BRI'!A:B,2,FALSE)))</f>
        <v>MUSTARD SEED WHOLE</v>
      </c>
      <c r="C39" s="38">
        <f>IFERROR(VLOOKUP(A39,'BRI Insert'!A:D,4,FALSE),MISC!A17)</f>
        <v>0</v>
      </c>
      <c r="E39" s="37">
        <v>951</v>
      </c>
      <c r="F39" s="36" t="str">
        <f>IFERROR(VLOOKUP(E39,'BRI Insert'!A:C,3,FALSE),(VLOOKUP(E39,'Product Names BRI'!A:B,2,FALSE)))</f>
        <v>MERINGUE POWDER</v>
      </c>
      <c r="G39" s="36">
        <f>IFERROR(VLOOKUP(E39,'BRI Insert'!A:D,4,FALSE),MISC!A32)</f>
        <v>0</v>
      </c>
      <c r="I39" s="37">
        <v>2636</v>
      </c>
      <c r="J39" s="36" t="str">
        <f>IFERROR(VLOOKUP(I39,'BRI Insert'!A:C,3,FALSE),(VLOOKUP(I39,'Product Names BRI'!A:B,2,FALSE)))</f>
        <v>BUTTER CHICKEN SEASONING</v>
      </c>
      <c r="K39" s="36">
        <f>IFERROR(VLOOKUP(I39,'BRI Insert'!A:D,4,FALSE),MISC!A35)</f>
        <v>0.25</v>
      </c>
    </row>
    <row r="40" spans="1:11" x14ac:dyDescent="0.25">
      <c r="A40" s="37">
        <v>883</v>
      </c>
      <c r="B40" s="36" t="str">
        <f>IFERROR(VLOOKUP(A40,'BRI Insert'!A:C,3,FALSE),(VLOOKUP(A40,'Product Names BRI'!A:B,2,FALSE)))</f>
        <v>ONION MINCED</v>
      </c>
      <c r="C40" s="38">
        <f>IFERROR(VLOOKUP(A40,'BRI Insert'!A:D,4,FALSE),MISC!A12)</f>
        <v>0.5</v>
      </c>
      <c r="E40" s="37">
        <v>956</v>
      </c>
      <c r="F40" s="36" t="str">
        <f>IFERROR(VLOOKUP(E40,'BRI Insert'!A:C,3,FALSE),(VLOOKUP(E40,'Product Names BRI'!A:B,2,FALSE)))</f>
        <v>SEQUINS</v>
      </c>
      <c r="G40" s="36">
        <f>IFERROR(VLOOKUP(E40,'BRI Insert'!A:D,4,FALSE),MISC!A33)</f>
        <v>0</v>
      </c>
      <c r="I40" s="37">
        <v>2652</v>
      </c>
      <c r="J40" s="36" t="str">
        <f>IFERROR(VLOOKUP(I40,'BRI Insert'!A:C,3,FALSE),(VLOOKUP(I40,'Product Names BRI'!A:B,2,FALSE)))</f>
        <v>JALAPENO PEPPER DICED</v>
      </c>
      <c r="K40" s="36">
        <f>IFERROR(VLOOKUP(I40,'BRI Insert'!A:D,4,FALSE),MISC!A36)</f>
        <v>0</v>
      </c>
    </row>
    <row r="41" spans="1:11" x14ac:dyDescent="0.25">
      <c r="A41" s="37">
        <v>884</v>
      </c>
      <c r="B41" s="36" t="str">
        <f>IFERROR(VLOOKUP(A41,'BRI Insert'!A:C,3,FALSE),(VLOOKUP(A41,'Product Names BRI'!A:B,2,FALSE)))</f>
        <v>PAPRIKA</v>
      </c>
      <c r="C41" s="38">
        <f>IFERROR(VLOOKUP(A41,'BRI Insert'!A:D,4,FALSE),MISC!A23)</f>
        <v>0.75</v>
      </c>
      <c r="E41" s="37">
        <v>958</v>
      </c>
      <c r="F41" s="36" t="str">
        <f>IFERROR(VLOOKUP(E41,'BRI Insert'!A:C,3,FALSE),(VLOOKUP(E41,'Product Names BRI'!A:B,2,FALSE)))</f>
        <v>STAR QUINS</v>
      </c>
      <c r="G41" s="36">
        <f>IFERROR(VLOOKUP(E41,'BRI Insert'!A:D,4,FALSE),MISC!A34)</f>
        <v>0.75</v>
      </c>
      <c r="I41" s="37">
        <v>2658</v>
      </c>
      <c r="J41" s="36" t="str">
        <f>IFERROR(VLOOKUP(I41,'BRI Insert'!A:C,3,FALSE),(VLOOKUP(I41,'Product Names BRI'!A:B,2,FALSE)))</f>
        <v>HOT CURRY POWDER</v>
      </c>
      <c r="K41" s="36">
        <f>IFERROR(VLOOKUP(I41,'BRI Insert'!A:D,4,FALSE),MISC!A37)</f>
        <v>0</v>
      </c>
    </row>
    <row r="42" spans="1:11" x14ac:dyDescent="0.25">
      <c r="A42" s="37">
        <v>885</v>
      </c>
      <c r="B42" s="36" t="str">
        <f>IFERROR(VLOOKUP(A42,'BRI Insert'!A:C,3,FALSE),(VLOOKUP(A42,'Product Names BRI'!A:B,2,FALSE)))</f>
        <v>PARSLEY FLAKES</v>
      </c>
      <c r="C42" s="38">
        <f>IFERROR(VLOOKUP(A42,'BRI Insert'!A:D,4,FALSE),MISC!A24)</f>
        <v>1</v>
      </c>
      <c r="E42" s="37">
        <v>962</v>
      </c>
      <c r="F42" s="36" t="str">
        <f>IFERROR(VLOOKUP(E42,'BRI Insert'!A:C,3,FALSE),(VLOOKUP(E42,'Product Names BRI'!A:B,2,FALSE)))</f>
        <v>VANILLA SUGAR</v>
      </c>
      <c r="G42" s="36">
        <f>IFERROR(VLOOKUP(E42,'BRI Insert'!A:D,4,FALSE),MISC!A35)</f>
        <v>0.25</v>
      </c>
      <c r="I42" s="37">
        <v>2659</v>
      </c>
      <c r="J42" s="36" t="str">
        <f>IFERROR(VLOOKUP(I42,'BRI Insert'!A:C,3,FALSE),(VLOOKUP(I42,'Product Names BRI'!A:B,2,FALSE)))</f>
        <v>GREEK SEASONING</v>
      </c>
      <c r="K42" s="36">
        <f>IFERROR(VLOOKUP(I42,'BRI Insert'!A:D,4,FALSE),MISC!A38)</f>
        <v>0</v>
      </c>
    </row>
    <row r="43" spans="1:11" x14ac:dyDescent="0.25">
      <c r="A43" s="37">
        <v>886</v>
      </c>
      <c r="B43" s="36" t="str">
        <f>IFERROR(VLOOKUP(A43,'BRI Insert'!A:C,3,FALSE),(VLOOKUP(A43,'Product Names BRI'!A:B,2,FALSE)))</f>
        <v>PEPPER WHOLE WHITE</v>
      </c>
      <c r="C43" s="38">
        <f>IFERROR(VLOOKUP(A43,'BRI Insert'!A:D,4,FALSE),MISC!A26)</f>
        <v>0.75</v>
      </c>
      <c r="E43" s="37">
        <v>965</v>
      </c>
      <c r="F43" s="36" t="str">
        <f>IFERROR(VLOOKUP(E43,'BRI Insert'!A:C,3,FALSE),(VLOOKUP(E43,'Product Names BRI'!A:B,2,FALSE)))</f>
        <v>SILVER BALLS (DRAGEES)</v>
      </c>
      <c r="G43" s="36">
        <f>IFERROR(VLOOKUP(E43,'BRI Insert'!A:D,4,FALSE),MISC!A36)</f>
        <v>0</v>
      </c>
      <c r="I43" s="37">
        <v>2852</v>
      </c>
      <c r="J43" s="36" t="str">
        <f>IFERROR(VLOOKUP(I43,'BRI Insert'!A:C,3,FALSE),(VLOOKUP(I43,'Product Names BRI'!A:B,2,FALSE)))</f>
        <v>HOLLANDAISE SAUCE</v>
      </c>
      <c r="K43" s="36">
        <f>IFERROR(VLOOKUP(I43,'BRI Insert'!A:D,4,FALSE),MISC!A39)</f>
        <v>0</v>
      </c>
    </row>
    <row r="44" spans="1:11" x14ac:dyDescent="0.25">
      <c r="A44" s="37">
        <v>887</v>
      </c>
      <c r="B44" s="36" t="str">
        <f>IFERROR(VLOOKUP(A44,'BRI Insert'!A:C,3,FALSE),(VLOOKUP(A44,'Product Names BRI'!A:B,2,FALSE)))</f>
        <v>GROUND WHITE PEPPER</v>
      </c>
      <c r="C44" s="38">
        <f>IFERROR(VLOOKUP(A44,'BRI Insert'!A:D,4,FALSE),MISC!A27)</f>
        <v>0.5</v>
      </c>
      <c r="E44" s="37">
        <v>966</v>
      </c>
      <c r="F44" s="36" t="str">
        <f>IFERROR(VLOOKUP(E44,'BRI Insert'!A:C,3,FALSE),(VLOOKUP(E44,'Product Names BRI'!A:B,2,FALSE)))</f>
        <v>YELLOW SPRINKLES</v>
      </c>
      <c r="G44" s="36">
        <f>IFERROR(VLOOKUP(E44,'BRI Insert'!A:D,4,FALSE),MISC!A37)</f>
        <v>1</v>
      </c>
      <c r="I44" s="37">
        <v>2863</v>
      </c>
      <c r="J44" s="36" t="str">
        <f>IFERROR(VLOOKUP(I44,'BRI Insert'!A:C,3,FALSE),(VLOOKUP(I44,'Product Names BRI'!A:B,2,FALSE)))</f>
        <v>BBQ CHICKEN &amp; RIB SAUCE MIX</v>
      </c>
      <c r="K44" s="36">
        <f>IFERROR(VLOOKUP(I44,'BRI Insert'!A:D,4,FALSE),MISC!A40)</f>
        <v>0</v>
      </c>
    </row>
    <row r="45" spans="1:11" x14ac:dyDescent="0.25">
      <c r="A45" s="37">
        <v>889</v>
      </c>
      <c r="B45" s="36" t="str">
        <f>IFERROR(VLOOKUP(A45,'BRI Insert'!A:C,3,FALSE),(VLOOKUP(A45,'Product Names BRI'!A:B,2,FALSE)))</f>
        <v>SUMMER SAVORY</v>
      </c>
      <c r="C45" s="38">
        <f>IFERROR(VLOOKUP(A45,'BRI Insert'!A:D,4,FALSE),MISC!A28)</f>
        <v>0</v>
      </c>
      <c r="D45" s="3"/>
      <c r="E45" s="37">
        <v>967</v>
      </c>
      <c r="F45" s="36" t="str">
        <f>IFERROR(VLOOKUP(E45,'BRI Insert'!A:C,3,FALSE),(VLOOKUP(E45,'Product Names BRI'!A:B,2,FALSE)))</f>
        <v>RED SPRINKLES</v>
      </c>
      <c r="G45" s="36">
        <f>IFERROR(VLOOKUP(E45,'BRI Insert'!A:D,4,FALSE),MISC!A38)</f>
        <v>0.75</v>
      </c>
      <c r="I45" s="37">
        <v>2864</v>
      </c>
      <c r="J45" s="36" t="str">
        <f>IFERROR(VLOOKUP(I45,'BRI Insert'!A:C,3,FALSE),(VLOOKUP(I45,'Product Names BRI'!A:B,2,FALSE)))</f>
        <v>BUFF. STYLE CHICK &amp; WING SC MX</v>
      </c>
      <c r="K45" s="36">
        <f>IFERROR(VLOOKUP(I45,'BRI Insert'!A:D,4,FALSE),MISC!A41)</f>
        <v>0</v>
      </c>
    </row>
    <row r="46" spans="1:11" x14ac:dyDescent="0.25">
      <c r="A46" s="39">
        <v>890</v>
      </c>
      <c r="B46" s="36" t="str">
        <f>IFERROR(VLOOKUP(A46,'BRI Insert'!A:C,3,FALSE),(VLOOKUP(A46,'Product Names BRI'!A:B,2,FALSE)))</f>
        <v>ULTIMATE SEASONING</v>
      </c>
      <c r="C46" s="38">
        <f>IFERROR(VLOOKUP(A46,'BRI Insert'!A:D,4,FALSE),MISC!A29)</f>
        <v>0.25</v>
      </c>
      <c r="E46" s="37">
        <v>968</v>
      </c>
      <c r="F46" s="36" t="str">
        <f>IFERROR(VLOOKUP(E46,'BRI Insert'!A:C,3,FALSE),(VLOOKUP(E46,'Product Names BRI'!A:B,2,FALSE)))</f>
        <v>BLUE SPRINKLES</v>
      </c>
      <c r="G46" s="36">
        <f>IFERROR(VLOOKUP(E46,'BRI Insert'!A:D,4,FALSE),MISC!A39)</f>
        <v>0.25</v>
      </c>
      <c r="I46" s="37">
        <v>2865</v>
      </c>
      <c r="J46" s="36" t="str">
        <f>IFERROR(VLOOKUP(I46,'BRI Insert'!A:C,3,FALSE),(VLOOKUP(I46,'Product Names BRI'!A:B,2,FALSE)))</f>
        <v>CAESAR DIP MIX</v>
      </c>
      <c r="K46" s="36">
        <f>IFERROR(VLOOKUP(I46,'BRI Insert'!A:D,4,FALSE),MISC!A42)</f>
        <v>0</v>
      </c>
    </row>
    <row r="47" spans="1:11" x14ac:dyDescent="0.25">
      <c r="A47" s="37">
        <v>891</v>
      </c>
      <c r="B47" s="36" t="str">
        <f>IFERROR(VLOOKUP(A47,'BRI Insert'!A:C,3,FALSE),(VLOOKUP(A47,'Product Names BRI'!A:B,2,FALSE)))</f>
        <v>OREGANO GROUND</v>
      </c>
      <c r="C47" s="38">
        <f>IFERROR(VLOOKUP(A47,'BRI Insert'!A:D,4,FALSE),MISC!A30)</f>
        <v>0</v>
      </c>
      <c r="E47" s="37">
        <v>969</v>
      </c>
      <c r="F47" s="36" t="str">
        <f>IFERROR(VLOOKUP(E47,'BRI Insert'!A:C,3,FALSE),(VLOOKUP(E47,'Product Names BRI'!A:B,2,FALSE)))</f>
        <v>ALL SPRINKLES</v>
      </c>
      <c r="G47" s="36">
        <f>IFERROR(VLOOKUP(E47,'BRI Insert'!A:D,4,FALSE),MISC!A40)</f>
        <v>1</v>
      </c>
      <c r="I47" s="37">
        <v>2972</v>
      </c>
      <c r="J47" s="36" t="str">
        <f>IFERROR(VLOOKUP(I47,'BRI Insert'!A:C,3,FALSE),(VLOOKUP(I47,'Product Names BRI'!A:B,2,FALSE)))</f>
        <v>SRIRACHA SEASONING</v>
      </c>
      <c r="K47" s="36">
        <f>IFERROR(VLOOKUP(I47,'BRI Insert'!A:D,4,FALSE),MISC!A43)</f>
        <v>0.25</v>
      </c>
    </row>
    <row r="48" spans="1:11" x14ac:dyDescent="0.25">
      <c r="A48" s="37">
        <v>892</v>
      </c>
      <c r="B48" s="36" t="str">
        <f>IFERROR(VLOOKUP(A48,'BRI Insert'!A:C,3,FALSE),(VLOOKUP(A48,'Product Names BRI'!A:B,2,FALSE)))</f>
        <v>ROSEMARY RUBBED</v>
      </c>
      <c r="C48" s="38">
        <f>IFERROR(VLOOKUP(A48,'BRI Insert'!A:D,4,FALSE),MISC!A31)</f>
        <v>1.25</v>
      </c>
      <c r="E48" s="37">
        <v>970</v>
      </c>
      <c r="F48" s="36" t="str">
        <f>IFERROR(VLOOKUP(E48,'BRI Insert'!A:C,3,FALSE),(VLOOKUP(E48,'Product Names BRI'!A:B,2,FALSE)))</f>
        <v>PINK SPRINKLES</v>
      </c>
      <c r="G48" s="36">
        <f>IFERROR(VLOOKUP(E48,'BRI Insert'!A:D,4,FALSE),MISC!A41)</f>
        <v>1.5</v>
      </c>
      <c r="I48" s="37">
        <v>2973</v>
      </c>
      <c r="J48" s="36" t="str">
        <f>IFERROR(VLOOKUP(I48,'BRI Insert'!A:C,3,FALSE),(VLOOKUP(I48,'Product Names BRI'!A:B,2,FALSE)))</f>
        <v>BACON CAESAR SEASONING</v>
      </c>
      <c r="K48" s="36">
        <f>IFERROR(VLOOKUP(I48,'BRI Insert'!A:D,4,FALSE),MISC!A44)</f>
        <v>0</v>
      </c>
    </row>
    <row r="49" spans="1:11" x14ac:dyDescent="0.25">
      <c r="A49" s="37">
        <v>893</v>
      </c>
      <c r="B49" s="36" t="str">
        <f>IFERROR(VLOOKUP(A49,'BRI Insert'!A:C,3,FALSE),(VLOOKUP(A49,'Product Names BRI'!A:B,2,FALSE)))</f>
        <v>SAGE RUBBED</v>
      </c>
      <c r="C49" s="38">
        <f>IFERROR(VLOOKUP(A49,'BRI Insert'!A:D,4,FALSE),MISC!A32)</f>
        <v>0.75</v>
      </c>
      <c r="E49" s="37">
        <v>971</v>
      </c>
      <c r="F49" s="36" t="str">
        <f>IFERROR(VLOOKUP(E49,'BRI Insert'!A:C,3,FALSE),(VLOOKUP(E49,'Product Names BRI'!A:B,2,FALSE)))</f>
        <v>GREEN SPRINKLES</v>
      </c>
      <c r="G49" s="36">
        <f>IFERROR(VLOOKUP(E49,'BRI Insert'!A:D,4,FALSE),MISC!A42)</f>
        <v>0.5</v>
      </c>
      <c r="I49" s="37">
        <v>2974</v>
      </c>
      <c r="J49" s="36" t="str">
        <f>IFERROR(VLOOKUP(I49,'BRI Insert'!A:C,3,FALSE),(VLOOKUP(I49,'Product Names BRI'!A:B,2,FALSE)))</f>
        <v>JALAPENO LIME SEASONING</v>
      </c>
      <c r="K49" s="36">
        <f>IFERROR(VLOOKUP(I49,'BRI Insert'!A:D,4,FALSE),MISC!A45)</f>
        <v>0.25</v>
      </c>
    </row>
  </sheetData>
  <sortState ref="I5:I49">
    <sortCondition ref="I5"/>
  </sortState>
  <conditionalFormatting sqref="A1:A1048576">
    <cfRule type="expression" dxfId="1" priority="1">
      <formula>COUNTIF($E:$E, $A1)</formula>
    </cfRule>
    <cfRule type="expression" dxfId="0" priority="2">
      <formula>COUNTIF($B:$B, $A1)</formula>
    </cfRule>
  </conditionalFormatting>
  <pageMargins left="0.39370078740157483" right="0.23622047244094491" top="0.35433070866141736" bottom="0.35433070866141736" header="0.31496062992125984" footer="0.31496062992125984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801"/>
  <sheetViews>
    <sheetView topLeftCell="A392" workbookViewId="0">
      <selection activeCell="C392" sqref="C392"/>
    </sheetView>
  </sheetViews>
  <sheetFormatPr defaultRowHeight="15" x14ac:dyDescent="0.25"/>
  <cols>
    <col min="1" max="1" width="6" style="11" bestFit="1" customWidth="1"/>
    <col min="2" max="2" width="4.42578125" style="12" bestFit="1" customWidth="1"/>
    <col min="3" max="3" width="35.42578125" style="12" bestFit="1" customWidth="1"/>
  </cols>
  <sheetData>
    <row r="1" spans="1:6" x14ac:dyDescent="0.25">
      <c r="A1" s="9" t="s">
        <v>861</v>
      </c>
      <c r="B1" s="9" t="s">
        <v>920</v>
      </c>
      <c r="C1" s="12" t="s">
        <v>860</v>
      </c>
      <c r="D1" s="11" t="s">
        <v>1</v>
      </c>
      <c r="E1" s="12" t="s">
        <v>1026</v>
      </c>
      <c r="F1" s="12"/>
    </row>
    <row r="2" spans="1:6" x14ac:dyDescent="0.25">
      <c r="A2" s="10">
        <v>11270</v>
      </c>
      <c r="B2" s="10" t="s">
        <v>976</v>
      </c>
      <c r="C2" s="13" t="s">
        <v>917</v>
      </c>
      <c r="D2" s="14">
        <v>0.5</v>
      </c>
      <c r="E2" s="19">
        <f ca="1">TODAY()</f>
        <v>42881</v>
      </c>
      <c r="F2" s="12"/>
    </row>
    <row r="3" spans="1:6" x14ac:dyDescent="0.25">
      <c r="A3" s="10">
        <v>100</v>
      </c>
      <c r="B3" s="10" t="s">
        <v>68</v>
      </c>
      <c r="C3" s="13" t="s">
        <v>69</v>
      </c>
      <c r="D3" s="14">
        <v>2.25</v>
      </c>
      <c r="E3" s="19">
        <f t="shared" ref="E3:E66" ca="1" si="0">TODAY()</f>
        <v>42881</v>
      </c>
      <c r="F3" s="12"/>
    </row>
    <row r="4" spans="1:6" x14ac:dyDescent="0.25">
      <c r="A4" s="10">
        <v>101</v>
      </c>
      <c r="B4" s="10" t="s">
        <v>70</v>
      </c>
      <c r="C4" s="13" t="s">
        <v>71</v>
      </c>
      <c r="D4" s="14">
        <v>2</v>
      </c>
      <c r="E4" s="19">
        <f t="shared" ca="1" si="0"/>
        <v>42881</v>
      </c>
      <c r="F4" s="12"/>
    </row>
    <row r="5" spans="1:6" x14ac:dyDescent="0.25">
      <c r="A5" s="10">
        <v>102</v>
      </c>
      <c r="B5" s="10" t="s">
        <v>72</v>
      </c>
      <c r="C5" s="13" t="s">
        <v>73</v>
      </c>
      <c r="D5" s="14">
        <v>0.25</v>
      </c>
      <c r="E5" s="19">
        <f t="shared" ca="1" si="0"/>
        <v>42881</v>
      </c>
      <c r="F5" s="12"/>
    </row>
    <row r="6" spans="1:6" x14ac:dyDescent="0.25">
      <c r="A6" s="10">
        <v>1049</v>
      </c>
      <c r="B6" s="10" t="s">
        <v>454</v>
      </c>
      <c r="C6" s="13" t="s">
        <v>455</v>
      </c>
      <c r="D6" s="14">
        <v>0.5</v>
      </c>
      <c r="E6" s="19">
        <f t="shared" ca="1" si="0"/>
        <v>42881</v>
      </c>
      <c r="F6" s="12"/>
    </row>
    <row r="7" spans="1:6" x14ac:dyDescent="0.25">
      <c r="A7" s="10">
        <v>105</v>
      </c>
      <c r="B7" s="10" t="s">
        <v>74</v>
      </c>
      <c r="C7" s="13" t="s">
        <v>75</v>
      </c>
      <c r="D7" s="14">
        <v>0.25</v>
      </c>
      <c r="E7" s="19">
        <f t="shared" ca="1" si="0"/>
        <v>42881</v>
      </c>
      <c r="F7" s="12"/>
    </row>
    <row r="8" spans="1:6" x14ac:dyDescent="0.25">
      <c r="A8" s="10">
        <v>10655</v>
      </c>
      <c r="B8" s="10" t="s">
        <v>847</v>
      </c>
      <c r="C8" s="13" t="s">
        <v>848</v>
      </c>
      <c r="D8" s="14">
        <v>0.75</v>
      </c>
      <c r="E8" s="19">
        <f t="shared" ca="1" si="0"/>
        <v>42881</v>
      </c>
      <c r="F8" s="12"/>
    </row>
    <row r="9" spans="1:6" x14ac:dyDescent="0.25">
      <c r="A9" s="10">
        <v>107</v>
      </c>
      <c r="B9" s="10" t="s">
        <v>77</v>
      </c>
      <c r="C9" s="13" t="s">
        <v>78</v>
      </c>
      <c r="D9" s="14">
        <v>1</v>
      </c>
      <c r="E9" s="19">
        <f t="shared" ca="1" si="0"/>
        <v>42881</v>
      </c>
      <c r="F9" s="12"/>
    </row>
    <row r="10" spans="1:6" x14ac:dyDescent="0.25">
      <c r="A10" s="10">
        <v>108</v>
      </c>
      <c r="B10" s="10" t="s">
        <v>927</v>
      </c>
      <c r="C10" s="13" t="s">
        <v>868</v>
      </c>
      <c r="D10" s="14">
        <v>1</v>
      </c>
      <c r="E10" s="19">
        <f t="shared" ca="1" si="0"/>
        <v>42881</v>
      </c>
      <c r="F10" s="12"/>
    </row>
    <row r="11" spans="1:6" x14ac:dyDescent="0.25">
      <c r="A11" s="10">
        <v>110</v>
      </c>
      <c r="B11" s="10" t="s">
        <v>928</v>
      </c>
      <c r="C11" s="13" t="s">
        <v>869</v>
      </c>
      <c r="D11" s="14">
        <v>0.75</v>
      </c>
      <c r="E11" s="19">
        <f t="shared" ca="1" si="0"/>
        <v>42881</v>
      </c>
      <c r="F11" s="12"/>
    </row>
    <row r="12" spans="1:6" x14ac:dyDescent="0.25">
      <c r="A12" s="10">
        <v>1128</v>
      </c>
      <c r="B12" s="10" t="s">
        <v>952</v>
      </c>
      <c r="C12" s="13" t="s">
        <v>893</v>
      </c>
      <c r="D12" s="14">
        <v>1.5</v>
      </c>
      <c r="E12" s="19">
        <f t="shared" ca="1" si="0"/>
        <v>42881</v>
      </c>
      <c r="F12" s="12"/>
    </row>
    <row r="13" spans="1:6" x14ac:dyDescent="0.25">
      <c r="A13" s="10">
        <v>113</v>
      </c>
      <c r="B13" s="10" t="s">
        <v>80</v>
      </c>
      <c r="C13" s="13" t="s">
        <v>81</v>
      </c>
      <c r="D13" s="14">
        <v>0.25</v>
      </c>
      <c r="E13" s="19">
        <f t="shared" ca="1" si="0"/>
        <v>42881</v>
      </c>
      <c r="F13" s="12"/>
    </row>
    <row r="14" spans="1:6" x14ac:dyDescent="0.25">
      <c r="A14" s="10">
        <v>1132</v>
      </c>
      <c r="B14" s="10" t="s">
        <v>458</v>
      </c>
      <c r="C14" s="13" t="s">
        <v>459</v>
      </c>
      <c r="D14" s="14">
        <v>0.75</v>
      </c>
      <c r="E14" s="19">
        <f t="shared" ca="1" si="0"/>
        <v>42881</v>
      </c>
      <c r="F14" s="12"/>
    </row>
    <row r="15" spans="1:6" x14ac:dyDescent="0.25">
      <c r="A15" s="10">
        <v>1137</v>
      </c>
      <c r="B15" s="10" t="s">
        <v>953</v>
      </c>
      <c r="C15" s="13" t="s">
        <v>894</v>
      </c>
      <c r="D15" s="14">
        <v>0.25</v>
      </c>
      <c r="E15" s="19">
        <f t="shared" ca="1" si="0"/>
        <v>42881</v>
      </c>
      <c r="F15" s="12"/>
    </row>
    <row r="16" spans="1:6" x14ac:dyDescent="0.25">
      <c r="A16" s="10">
        <v>114</v>
      </c>
      <c r="B16" s="10" t="s">
        <v>82</v>
      </c>
      <c r="C16" s="13" t="s">
        <v>83</v>
      </c>
      <c r="D16" s="14">
        <v>0.5</v>
      </c>
      <c r="E16" s="19">
        <f t="shared" ca="1" si="0"/>
        <v>42881</v>
      </c>
      <c r="F16" s="12"/>
    </row>
    <row r="17" spans="1:6" x14ac:dyDescent="0.25">
      <c r="A17" s="10">
        <v>1141</v>
      </c>
      <c r="B17" s="10" t="s">
        <v>954</v>
      </c>
      <c r="C17" s="13" t="s">
        <v>895</v>
      </c>
      <c r="D17" s="14">
        <v>0.75</v>
      </c>
      <c r="E17" s="19">
        <f t="shared" ca="1" si="0"/>
        <v>42881</v>
      </c>
      <c r="F17" s="12"/>
    </row>
    <row r="18" spans="1:6" x14ac:dyDescent="0.25">
      <c r="A18" s="10">
        <v>115</v>
      </c>
      <c r="B18" s="10" t="s">
        <v>84</v>
      </c>
      <c r="C18" s="13" t="s">
        <v>85</v>
      </c>
      <c r="D18" s="14">
        <v>0.25</v>
      </c>
      <c r="E18" s="19">
        <f t="shared" ca="1" si="0"/>
        <v>42881</v>
      </c>
      <c r="F18" s="12"/>
    </row>
    <row r="19" spans="1:6" x14ac:dyDescent="0.25">
      <c r="A19" s="10">
        <v>1151</v>
      </c>
      <c r="B19" s="10" t="s">
        <v>461</v>
      </c>
      <c r="C19" s="13" t="s">
        <v>462</v>
      </c>
      <c r="D19" s="14">
        <v>1</v>
      </c>
      <c r="E19" s="19">
        <f t="shared" ca="1" si="0"/>
        <v>42881</v>
      </c>
      <c r="F19" s="12"/>
    </row>
    <row r="20" spans="1:6" x14ac:dyDescent="0.25">
      <c r="A20" s="10">
        <v>1160</v>
      </c>
      <c r="B20" s="10" t="s">
        <v>463</v>
      </c>
      <c r="C20" s="13" t="s">
        <v>464</v>
      </c>
      <c r="D20" s="14">
        <v>0.5</v>
      </c>
      <c r="E20" s="19">
        <f t="shared" ca="1" si="0"/>
        <v>42881</v>
      </c>
      <c r="F20" s="12"/>
    </row>
    <row r="21" spans="1:6" x14ac:dyDescent="0.25">
      <c r="A21" s="10">
        <v>117</v>
      </c>
      <c r="B21" s="10" t="s">
        <v>929</v>
      </c>
      <c r="C21" s="13" t="s">
        <v>870</v>
      </c>
      <c r="D21" s="14">
        <v>0.5</v>
      </c>
      <c r="E21" s="19">
        <f t="shared" ca="1" si="0"/>
        <v>42881</v>
      </c>
      <c r="F21" s="12"/>
    </row>
    <row r="22" spans="1:6" x14ac:dyDescent="0.25">
      <c r="A22" s="10">
        <v>1175</v>
      </c>
      <c r="B22" s="10" t="s">
        <v>955</v>
      </c>
      <c r="C22" s="13" t="s">
        <v>896</v>
      </c>
      <c r="D22" s="14">
        <v>0.75</v>
      </c>
      <c r="E22" s="19">
        <f t="shared" ca="1" si="0"/>
        <v>42881</v>
      </c>
      <c r="F22" s="12"/>
    </row>
    <row r="23" spans="1:6" x14ac:dyDescent="0.25">
      <c r="A23" s="10">
        <v>1176</v>
      </c>
      <c r="B23" s="10" t="s">
        <v>956</v>
      </c>
      <c r="C23" s="13" t="s">
        <v>897</v>
      </c>
      <c r="D23" s="14">
        <v>0.25</v>
      </c>
      <c r="E23" s="19">
        <f t="shared" ca="1" si="0"/>
        <v>42881</v>
      </c>
      <c r="F23" s="12"/>
    </row>
    <row r="24" spans="1:6" x14ac:dyDescent="0.25">
      <c r="A24" s="10">
        <v>118</v>
      </c>
      <c r="B24" s="10" t="s">
        <v>86</v>
      </c>
      <c r="C24" s="13" t="s">
        <v>87</v>
      </c>
      <c r="D24" s="14">
        <v>1</v>
      </c>
      <c r="E24" s="19">
        <f t="shared" ca="1" si="0"/>
        <v>42881</v>
      </c>
      <c r="F24" s="12"/>
    </row>
    <row r="25" spans="1:6" x14ac:dyDescent="0.25">
      <c r="A25" s="10">
        <v>119</v>
      </c>
      <c r="B25" s="10" t="s">
        <v>88</v>
      </c>
      <c r="C25" s="13" t="s">
        <v>89</v>
      </c>
      <c r="D25" s="14">
        <v>1.25</v>
      </c>
      <c r="E25" s="19">
        <f t="shared" ca="1" si="0"/>
        <v>42881</v>
      </c>
      <c r="F25" s="12"/>
    </row>
    <row r="26" spans="1:6" x14ac:dyDescent="0.25">
      <c r="A26" s="10">
        <v>120</v>
      </c>
      <c r="B26" s="10" t="s">
        <v>90</v>
      </c>
      <c r="C26" s="13" t="s">
        <v>91</v>
      </c>
      <c r="D26" s="14">
        <v>1.25</v>
      </c>
      <c r="E26" s="19">
        <f t="shared" ca="1" si="0"/>
        <v>42881</v>
      </c>
      <c r="F26" s="12"/>
    </row>
    <row r="27" spans="1:6" x14ac:dyDescent="0.25">
      <c r="A27" s="10">
        <v>1202</v>
      </c>
      <c r="B27" s="10" t="s">
        <v>466</v>
      </c>
      <c r="C27" s="13" t="s">
        <v>467</v>
      </c>
      <c r="D27" s="14">
        <v>1.5</v>
      </c>
      <c r="E27" s="19">
        <f t="shared" ca="1" si="0"/>
        <v>42881</v>
      </c>
      <c r="F27" s="12"/>
    </row>
    <row r="28" spans="1:6" x14ac:dyDescent="0.25">
      <c r="A28" s="10">
        <v>1203</v>
      </c>
      <c r="B28" s="10" t="s">
        <v>468</v>
      </c>
      <c r="C28" s="13" t="s">
        <v>469</v>
      </c>
      <c r="D28" s="14">
        <v>0.25</v>
      </c>
      <c r="E28" s="19">
        <f t="shared" ca="1" si="0"/>
        <v>42881</v>
      </c>
      <c r="F28" s="12"/>
    </row>
    <row r="29" spans="1:6" x14ac:dyDescent="0.25">
      <c r="A29" s="10">
        <v>1204</v>
      </c>
      <c r="B29" s="10" t="s">
        <v>470</v>
      </c>
      <c r="C29" s="13" t="s">
        <v>471</v>
      </c>
      <c r="D29" s="14">
        <v>0.25</v>
      </c>
      <c r="E29" s="19">
        <f t="shared" ca="1" si="0"/>
        <v>42881</v>
      </c>
      <c r="F29" s="12"/>
    </row>
    <row r="30" spans="1:6" x14ac:dyDescent="0.25">
      <c r="A30" s="10">
        <v>1205</v>
      </c>
      <c r="B30" s="10" t="s">
        <v>472</v>
      </c>
      <c r="C30" s="13" t="s">
        <v>473</v>
      </c>
      <c r="D30" s="14">
        <v>0.75</v>
      </c>
      <c r="E30" s="19">
        <f t="shared" ca="1" si="0"/>
        <v>42881</v>
      </c>
      <c r="F30" s="12"/>
    </row>
    <row r="31" spans="1:6" x14ac:dyDescent="0.25">
      <c r="A31" s="10">
        <v>1213</v>
      </c>
      <c r="B31" s="10" t="s">
        <v>475</v>
      </c>
      <c r="C31" s="13" t="s">
        <v>476</v>
      </c>
      <c r="D31" s="14">
        <v>0.75</v>
      </c>
      <c r="E31" s="19">
        <f t="shared" ca="1" si="0"/>
        <v>42881</v>
      </c>
      <c r="F31" s="12"/>
    </row>
    <row r="32" spans="1:6" x14ac:dyDescent="0.25">
      <c r="A32" s="10">
        <v>1218</v>
      </c>
      <c r="B32" s="10" t="s">
        <v>477</v>
      </c>
      <c r="C32" s="13" t="s">
        <v>478</v>
      </c>
      <c r="D32" s="14">
        <v>0.25</v>
      </c>
      <c r="E32" s="19">
        <f t="shared" ca="1" si="0"/>
        <v>42881</v>
      </c>
      <c r="F32" s="12"/>
    </row>
    <row r="33" spans="1:6" x14ac:dyDescent="0.25">
      <c r="A33" s="10">
        <v>1219</v>
      </c>
      <c r="B33" s="10" t="s">
        <v>479</v>
      </c>
      <c r="C33" s="13" t="s">
        <v>480</v>
      </c>
      <c r="D33" s="14">
        <v>0.5</v>
      </c>
      <c r="E33" s="19">
        <f t="shared" ca="1" si="0"/>
        <v>42881</v>
      </c>
      <c r="F33" s="12"/>
    </row>
    <row r="34" spans="1:6" x14ac:dyDescent="0.25">
      <c r="A34" s="10">
        <v>1222</v>
      </c>
      <c r="B34" s="10" t="s">
        <v>481</v>
      </c>
      <c r="C34" s="13" t="s">
        <v>482</v>
      </c>
      <c r="D34" s="14">
        <v>0.70000000000000007</v>
      </c>
      <c r="E34" s="19">
        <f t="shared" ca="1" si="0"/>
        <v>42881</v>
      </c>
      <c r="F34" s="12"/>
    </row>
    <row r="35" spans="1:6" x14ac:dyDescent="0.25">
      <c r="A35" s="10">
        <v>1225</v>
      </c>
      <c r="B35" s="10" t="s">
        <v>483</v>
      </c>
      <c r="C35" s="13" t="s">
        <v>484</v>
      </c>
      <c r="D35" s="14">
        <v>0.25</v>
      </c>
      <c r="E35" s="19">
        <f t="shared" ca="1" si="0"/>
        <v>42881</v>
      </c>
      <c r="F35" s="12"/>
    </row>
    <row r="36" spans="1:6" x14ac:dyDescent="0.25">
      <c r="A36" s="10">
        <v>1226</v>
      </c>
      <c r="B36" s="10" t="s">
        <v>485</v>
      </c>
      <c r="C36" s="13" t="s">
        <v>486</v>
      </c>
      <c r="D36" s="14">
        <v>0.25</v>
      </c>
      <c r="E36" s="19">
        <f t="shared" ca="1" si="0"/>
        <v>42881</v>
      </c>
      <c r="F36" s="12"/>
    </row>
    <row r="37" spans="1:6" x14ac:dyDescent="0.25">
      <c r="A37" s="10">
        <v>123</v>
      </c>
      <c r="B37" s="10" t="s">
        <v>92</v>
      </c>
      <c r="C37" s="13" t="s">
        <v>93</v>
      </c>
      <c r="D37" s="14">
        <v>1.5</v>
      </c>
      <c r="E37" s="19">
        <f t="shared" ca="1" si="0"/>
        <v>42881</v>
      </c>
      <c r="F37" s="12"/>
    </row>
    <row r="38" spans="1:6" x14ac:dyDescent="0.25">
      <c r="A38" s="10">
        <v>1234</v>
      </c>
      <c r="B38" s="10" t="s">
        <v>488</v>
      </c>
      <c r="C38" s="13" t="s">
        <v>489</v>
      </c>
      <c r="D38" s="14">
        <v>0.25</v>
      </c>
      <c r="E38" s="19">
        <f t="shared" ca="1" si="0"/>
        <v>42881</v>
      </c>
      <c r="F38" s="12"/>
    </row>
    <row r="39" spans="1:6" x14ac:dyDescent="0.25">
      <c r="A39" s="10">
        <v>124</v>
      </c>
      <c r="B39" s="10" t="s">
        <v>94</v>
      </c>
      <c r="C39" s="13" t="s">
        <v>95</v>
      </c>
      <c r="D39" s="14">
        <v>0.25</v>
      </c>
      <c r="E39" s="19">
        <f t="shared" ca="1" si="0"/>
        <v>42881</v>
      </c>
      <c r="F39" s="12"/>
    </row>
    <row r="40" spans="1:6" x14ac:dyDescent="0.25">
      <c r="A40" s="10">
        <v>125</v>
      </c>
      <c r="B40" s="10" t="s">
        <v>96</v>
      </c>
      <c r="C40" s="13" t="s">
        <v>97</v>
      </c>
      <c r="D40" s="14">
        <v>0.5</v>
      </c>
      <c r="E40" s="19">
        <f t="shared" ca="1" si="0"/>
        <v>42881</v>
      </c>
      <c r="F40" s="12"/>
    </row>
    <row r="41" spans="1:6" x14ac:dyDescent="0.25">
      <c r="A41" s="10">
        <v>12521</v>
      </c>
      <c r="B41" s="10" t="s">
        <v>977</v>
      </c>
      <c r="C41" s="13" t="s">
        <v>918</v>
      </c>
      <c r="D41" s="14">
        <v>0.5</v>
      </c>
      <c r="E41" s="19">
        <f t="shared" ca="1" si="0"/>
        <v>42881</v>
      </c>
      <c r="F41" s="12"/>
    </row>
    <row r="42" spans="1:6" x14ac:dyDescent="0.25">
      <c r="A42" s="10">
        <v>12536</v>
      </c>
      <c r="B42" s="10" t="s">
        <v>850</v>
      </c>
      <c r="C42" s="13" t="s">
        <v>851</v>
      </c>
      <c r="D42" s="14">
        <v>0.25</v>
      </c>
      <c r="E42" s="19">
        <f t="shared" ca="1" si="0"/>
        <v>42881</v>
      </c>
      <c r="F42" s="12"/>
    </row>
    <row r="43" spans="1:6" x14ac:dyDescent="0.25">
      <c r="A43" s="10">
        <v>1254</v>
      </c>
      <c r="B43" s="10" t="s">
        <v>491</v>
      </c>
      <c r="C43" s="13" t="s">
        <v>492</v>
      </c>
      <c r="D43" s="14">
        <v>0.75</v>
      </c>
      <c r="E43" s="19">
        <f t="shared" ca="1" si="0"/>
        <v>42881</v>
      </c>
      <c r="F43" s="12"/>
    </row>
    <row r="44" spans="1:6" x14ac:dyDescent="0.25">
      <c r="A44" s="10">
        <v>12547</v>
      </c>
      <c r="B44" s="10" t="s">
        <v>852</v>
      </c>
      <c r="C44" s="13" t="s">
        <v>853</v>
      </c>
      <c r="D44" s="14">
        <v>0.25</v>
      </c>
      <c r="E44" s="19">
        <f t="shared" ca="1" si="0"/>
        <v>42881</v>
      </c>
      <c r="F44" s="12"/>
    </row>
    <row r="45" spans="1:6" x14ac:dyDescent="0.25">
      <c r="A45" s="10">
        <v>12555</v>
      </c>
      <c r="B45" s="10" t="s">
        <v>854</v>
      </c>
      <c r="C45" s="13" t="s">
        <v>855</v>
      </c>
      <c r="D45" s="14">
        <v>0.75</v>
      </c>
      <c r="E45" s="19">
        <f t="shared" ca="1" si="0"/>
        <v>42881</v>
      </c>
      <c r="F45" s="12"/>
    </row>
    <row r="46" spans="1:6" x14ac:dyDescent="0.25">
      <c r="A46" s="10">
        <v>12558</v>
      </c>
      <c r="B46" s="10" t="s">
        <v>856</v>
      </c>
      <c r="C46" s="13" t="s">
        <v>857</v>
      </c>
      <c r="D46" s="14">
        <v>0.25</v>
      </c>
      <c r="E46" s="19">
        <f t="shared" ca="1" si="0"/>
        <v>42881</v>
      </c>
      <c r="F46" s="12"/>
    </row>
    <row r="47" spans="1:6" x14ac:dyDescent="0.25">
      <c r="A47" s="10">
        <v>1260</v>
      </c>
      <c r="B47" s="10" t="s">
        <v>494</v>
      </c>
      <c r="C47" s="13" t="s">
        <v>495</v>
      </c>
      <c r="D47" s="14">
        <v>0.75</v>
      </c>
      <c r="E47" s="19">
        <f t="shared" ca="1" si="0"/>
        <v>42881</v>
      </c>
      <c r="F47" s="12"/>
    </row>
    <row r="48" spans="1:6" x14ac:dyDescent="0.25">
      <c r="A48" s="10">
        <v>127</v>
      </c>
      <c r="B48" s="10" t="s">
        <v>98</v>
      </c>
      <c r="C48" s="13" t="s">
        <v>99</v>
      </c>
      <c r="D48" s="14">
        <v>0.25</v>
      </c>
      <c r="E48" s="19">
        <f t="shared" ca="1" si="0"/>
        <v>42881</v>
      </c>
      <c r="F48" s="12"/>
    </row>
    <row r="49" spans="1:6" x14ac:dyDescent="0.25">
      <c r="A49" s="10">
        <v>1270</v>
      </c>
      <c r="B49" s="10" t="s">
        <v>496</v>
      </c>
      <c r="C49" s="13" t="s">
        <v>497</v>
      </c>
      <c r="D49" s="14">
        <v>0.75</v>
      </c>
      <c r="E49" s="19">
        <f t="shared" ca="1" si="0"/>
        <v>42881</v>
      </c>
      <c r="F49" s="12"/>
    </row>
    <row r="50" spans="1:6" x14ac:dyDescent="0.25">
      <c r="A50" s="10">
        <v>1273</v>
      </c>
      <c r="B50" s="10" t="s">
        <v>498</v>
      </c>
      <c r="C50" s="13" t="s">
        <v>499</v>
      </c>
      <c r="D50" s="14">
        <v>0.5</v>
      </c>
      <c r="E50" s="19">
        <f t="shared" ca="1" si="0"/>
        <v>42881</v>
      </c>
      <c r="F50" s="12"/>
    </row>
    <row r="51" spans="1:6" x14ac:dyDescent="0.25">
      <c r="A51" s="10">
        <v>1274</v>
      </c>
      <c r="B51" s="10" t="s">
        <v>500</v>
      </c>
      <c r="C51" s="13" t="s">
        <v>501</v>
      </c>
      <c r="D51" s="14">
        <v>0.25</v>
      </c>
      <c r="E51" s="19">
        <f t="shared" ca="1" si="0"/>
        <v>42881</v>
      </c>
      <c r="F51" s="12"/>
    </row>
    <row r="52" spans="1:6" x14ac:dyDescent="0.25">
      <c r="A52" s="10">
        <v>1276</v>
      </c>
      <c r="B52" s="10" t="s">
        <v>502</v>
      </c>
      <c r="C52" s="13" t="s">
        <v>503</v>
      </c>
      <c r="D52" s="14">
        <v>0.75</v>
      </c>
      <c r="E52" s="19">
        <f t="shared" ca="1" si="0"/>
        <v>42881</v>
      </c>
      <c r="F52" s="12"/>
    </row>
    <row r="53" spans="1:6" x14ac:dyDescent="0.25">
      <c r="A53" s="10">
        <v>1277</v>
      </c>
      <c r="B53" s="10" t="s">
        <v>504</v>
      </c>
      <c r="C53" s="13" t="s">
        <v>505</v>
      </c>
      <c r="D53" s="14">
        <v>0.5</v>
      </c>
      <c r="E53" s="19">
        <f t="shared" ca="1" si="0"/>
        <v>42881</v>
      </c>
      <c r="F53" s="12"/>
    </row>
    <row r="54" spans="1:6" x14ac:dyDescent="0.25">
      <c r="A54" s="10">
        <v>1278</v>
      </c>
      <c r="B54" s="10" t="s">
        <v>506</v>
      </c>
      <c r="C54" s="13" t="s">
        <v>507</v>
      </c>
      <c r="D54" s="14">
        <v>0.25</v>
      </c>
      <c r="E54" s="19">
        <f t="shared" ca="1" si="0"/>
        <v>42881</v>
      </c>
      <c r="F54" s="12"/>
    </row>
    <row r="55" spans="1:6" x14ac:dyDescent="0.25">
      <c r="A55" s="10">
        <v>128</v>
      </c>
      <c r="B55" s="10" t="s">
        <v>100</v>
      </c>
      <c r="C55" s="13" t="s">
        <v>101</v>
      </c>
      <c r="D55" s="14">
        <v>1</v>
      </c>
      <c r="E55" s="19">
        <f t="shared" ca="1" si="0"/>
        <v>42881</v>
      </c>
      <c r="F55" s="12"/>
    </row>
    <row r="56" spans="1:6" x14ac:dyDescent="0.25">
      <c r="A56" s="10">
        <v>1282</v>
      </c>
      <c r="B56" s="10" t="s">
        <v>508</v>
      </c>
      <c r="C56" s="13" t="s">
        <v>509</v>
      </c>
      <c r="D56" s="14">
        <v>0.5</v>
      </c>
      <c r="E56" s="19">
        <f t="shared" ca="1" si="0"/>
        <v>42881</v>
      </c>
      <c r="F56" s="12"/>
    </row>
    <row r="57" spans="1:6" x14ac:dyDescent="0.25">
      <c r="A57" s="10">
        <v>1284</v>
      </c>
      <c r="B57" s="10" t="s">
        <v>510</v>
      </c>
      <c r="C57" s="13" t="s">
        <v>511</v>
      </c>
      <c r="D57" s="14">
        <v>0.25</v>
      </c>
      <c r="E57" s="19">
        <f t="shared" ca="1" si="0"/>
        <v>42881</v>
      </c>
      <c r="F57" s="12"/>
    </row>
    <row r="58" spans="1:6" x14ac:dyDescent="0.25">
      <c r="A58" s="10">
        <v>1285</v>
      </c>
      <c r="B58" s="10" t="s">
        <v>512</v>
      </c>
      <c r="C58" s="13" t="s">
        <v>513</v>
      </c>
      <c r="D58" s="14">
        <v>0.25</v>
      </c>
      <c r="E58" s="19">
        <f t="shared" ca="1" si="0"/>
        <v>42881</v>
      </c>
      <c r="F58" s="12"/>
    </row>
    <row r="59" spans="1:6" x14ac:dyDescent="0.25">
      <c r="A59" s="10">
        <v>129</v>
      </c>
      <c r="B59" s="10" t="s">
        <v>102</v>
      </c>
      <c r="C59" s="13" t="s">
        <v>103</v>
      </c>
      <c r="D59" s="14">
        <v>1</v>
      </c>
      <c r="E59" s="19">
        <f t="shared" ca="1" si="0"/>
        <v>42881</v>
      </c>
      <c r="F59" s="12"/>
    </row>
    <row r="60" spans="1:6" x14ac:dyDescent="0.25">
      <c r="A60" s="10">
        <v>13</v>
      </c>
      <c r="B60" s="10" t="s">
        <v>14</v>
      </c>
      <c r="C60" s="13" t="s">
        <v>15</v>
      </c>
      <c r="D60" s="14">
        <v>0.5</v>
      </c>
      <c r="E60" s="19">
        <f t="shared" ca="1" si="0"/>
        <v>42881</v>
      </c>
      <c r="F60" s="12"/>
    </row>
    <row r="61" spans="1:6" x14ac:dyDescent="0.25">
      <c r="A61" s="10">
        <v>1320</v>
      </c>
      <c r="B61" s="10" t="s">
        <v>515</v>
      </c>
      <c r="C61" s="13" t="s">
        <v>516</v>
      </c>
      <c r="D61" s="14">
        <v>0.25</v>
      </c>
      <c r="E61" s="19">
        <f t="shared" ca="1" si="0"/>
        <v>42881</v>
      </c>
      <c r="F61" s="12"/>
    </row>
    <row r="62" spans="1:6" x14ac:dyDescent="0.25">
      <c r="A62" s="10">
        <v>1325</v>
      </c>
      <c r="B62" s="10" t="s">
        <v>517</v>
      </c>
      <c r="C62" s="13" t="s">
        <v>518</v>
      </c>
      <c r="D62" s="14">
        <v>0.5</v>
      </c>
      <c r="E62" s="19">
        <f t="shared" ca="1" si="0"/>
        <v>42881</v>
      </c>
      <c r="F62" s="12"/>
    </row>
    <row r="63" spans="1:6" x14ac:dyDescent="0.25">
      <c r="A63" s="10">
        <v>1327</v>
      </c>
      <c r="B63" s="10" t="s">
        <v>519</v>
      </c>
      <c r="C63" s="13" t="s">
        <v>520</v>
      </c>
      <c r="D63" s="14">
        <v>1</v>
      </c>
      <c r="E63" s="19">
        <f t="shared" ca="1" si="0"/>
        <v>42881</v>
      </c>
      <c r="F63" s="12"/>
    </row>
    <row r="64" spans="1:6" x14ac:dyDescent="0.25">
      <c r="A64" s="10">
        <v>13746</v>
      </c>
      <c r="B64" s="10" t="s">
        <v>858</v>
      </c>
      <c r="C64" s="13" t="s">
        <v>859</v>
      </c>
      <c r="D64" s="14">
        <v>0.25</v>
      </c>
      <c r="E64" s="19">
        <f t="shared" ca="1" si="0"/>
        <v>42881</v>
      </c>
      <c r="F64" s="12"/>
    </row>
    <row r="65" spans="1:6" x14ac:dyDescent="0.25">
      <c r="A65" s="10">
        <v>138</v>
      </c>
      <c r="B65" s="10" t="s">
        <v>930</v>
      </c>
      <c r="C65" s="13" t="s">
        <v>871</v>
      </c>
      <c r="D65" s="14">
        <v>1</v>
      </c>
      <c r="E65" s="19">
        <f t="shared" ca="1" si="0"/>
        <v>42881</v>
      </c>
      <c r="F65" s="12"/>
    </row>
    <row r="66" spans="1:6" x14ac:dyDescent="0.25">
      <c r="A66" s="10">
        <v>139</v>
      </c>
      <c r="B66" s="10" t="s">
        <v>107</v>
      </c>
      <c r="C66" s="13" t="s">
        <v>108</v>
      </c>
      <c r="D66" s="14">
        <v>1.75</v>
      </c>
      <c r="E66" s="19">
        <f t="shared" ca="1" si="0"/>
        <v>42881</v>
      </c>
      <c r="F66" s="12"/>
    </row>
    <row r="67" spans="1:6" x14ac:dyDescent="0.25">
      <c r="A67" s="10">
        <v>140</v>
      </c>
      <c r="B67" s="10" t="s">
        <v>109</v>
      </c>
      <c r="C67" s="13" t="s">
        <v>110</v>
      </c>
      <c r="D67" s="14">
        <v>1</v>
      </c>
      <c r="E67" s="19">
        <f t="shared" ref="E67:E130" ca="1" si="1">TODAY()</f>
        <v>42881</v>
      </c>
      <c r="F67" s="12"/>
    </row>
    <row r="68" spans="1:6" x14ac:dyDescent="0.25">
      <c r="A68" s="10">
        <v>1504</v>
      </c>
      <c r="B68" s="10" t="s">
        <v>522</v>
      </c>
      <c r="C68" s="13" t="s">
        <v>523</v>
      </c>
      <c r="D68" s="14">
        <v>0.25</v>
      </c>
      <c r="E68" s="19">
        <f t="shared" ca="1" si="1"/>
        <v>42881</v>
      </c>
      <c r="F68" s="12"/>
    </row>
    <row r="69" spans="1:6" x14ac:dyDescent="0.25">
      <c r="A69" s="10">
        <v>1508</v>
      </c>
      <c r="B69" s="10" t="s">
        <v>524</v>
      </c>
      <c r="C69" s="13" t="s">
        <v>525</v>
      </c>
      <c r="D69" s="14">
        <v>0.25</v>
      </c>
      <c r="E69" s="19">
        <f t="shared" ca="1" si="1"/>
        <v>42881</v>
      </c>
      <c r="F69" s="12"/>
    </row>
    <row r="70" spans="1:6" x14ac:dyDescent="0.25">
      <c r="A70" s="10">
        <v>1517</v>
      </c>
      <c r="B70" s="10" t="s">
        <v>526</v>
      </c>
      <c r="C70" s="13" t="s">
        <v>527</v>
      </c>
      <c r="D70" s="14">
        <v>1.25</v>
      </c>
      <c r="E70" s="19">
        <f t="shared" ca="1" si="1"/>
        <v>42881</v>
      </c>
      <c r="F70" s="12"/>
    </row>
    <row r="71" spans="1:6" x14ac:dyDescent="0.25">
      <c r="A71" s="10">
        <v>1518</v>
      </c>
      <c r="B71" s="10" t="s">
        <v>528</v>
      </c>
      <c r="C71" s="13" t="s">
        <v>529</v>
      </c>
      <c r="D71" s="14">
        <v>0.25</v>
      </c>
      <c r="E71" s="19">
        <f t="shared" ca="1" si="1"/>
        <v>42881</v>
      </c>
      <c r="F71" s="12"/>
    </row>
    <row r="72" spans="1:6" x14ac:dyDescent="0.25">
      <c r="A72" s="10">
        <v>1524</v>
      </c>
      <c r="B72" s="10" t="s">
        <v>531</v>
      </c>
      <c r="C72" s="13" t="s">
        <v>532</v>
      </c>
      <c r="D72" s="14">
        <v>0.2</v>
      </c>
      <c r="E72" s="19">
        <f t="shared" ca="1" si="1"/>
        <v>42881</v>
      </c>
      <c r="F72" s="12"/>
    </row>
    <row r="73" spans="1:6" x14ac:dyDescent="0.25">
      <c r="A73" s="10">
        <v>1526</v>
      </c>
      <c r="B73" s="10" t="s">
        <v>533</v>
      </c>
      <c r="C73" s="13" t="s">
        <v>534</v>
      </c>
      <c r="D73" s="14">
        <v>1.25</v>
      </c>
      <c r="E73" s="19">
        <f t="shared" ca="1" si="1"/>
        <v>42881</v>
      </c>
      <c r="F73" s="12"/>
    </row>
    <row r="74" spans="1:6" x14ac:dyDescent="0.25">
      <c r="A74" s="10">
        <v>1527</v>
      </c>
      <c r="B74" s="10" t="s">
        <v>535</v>
      </c>
      <c r="C74" s="13" t="s">
        <v>536</v>
      </c>
      <c r="D74" s="14">
        <v>1</v>
      </c>
      <c r="E74" s="19">
        <f t="shared" ca="1" si="1"/>
        <v>42881</v>
      </c>
      <c r="F74" s="12"/>
    </row>
    <row r="75" spans="1:6" x14ac:dyDescent="0.25">
      <c r="A75" s="10">
        <v>1530</v>
      </c>
      <c r="B75" s="10" t="s">
        <v>537</v>
      </c>
      <c r="C75" s="13" t="s">
        <v>538</v>
      </c>
      <c r="D75" s="14">
        <v>0.25</v>
      </c>
      <c r="E75" s="19">
        <f t="shared" ca="1" si="1"/>
        <v>42881</v>
      </c>
      <c r="F75" s="12"/>
    </row>
    <row r="76" spans="1:6" x14ac:dyDescent="0.25">
      <c r="A76" s="10">
        <v>1533</v>
      </c>
      <c r="B76" s="10" t="s">
        <v>539</v>
      </c>
      <c r="C76" s="13" t="s">
        <v>540</v>
      </c>
      <c r="D76" s="14">
        <v>0.25</v>
      </c>
      <c r="E76" s="19">
        <f t="shared" ca="1" si="1"/>
        <v>42881</v>
      </c>
      <c r="F76" s="12"/>
    </row>
    <row r="77" spans="1:6" x14ac:dyDescent="0.25">
      <c r="A77" s="10">
        <v>1535</v>
      </c>
      <c r="B77" s="10" t="s">
        <v>541</v>
      </c>
      <c r="C77" s="13" t="s">
        <v>542</v>
      </c>
      <c r="D77" s="14">
        <v>1</v>
      </c>
      <c r="E77" s="19">
        <f t="shared" ca="1" si="1"/>
        <v>42881</v>
      </c>
      <c r="F77" s="12"/>
    </row>
    <row r="78" spans="1:6" x14ac:dyDescent="0.25">
      <c r="A78" s="10">
        <v>1538</v>
      </c>
      <c r="B78" s="10" t="s">
        <v>544</v>
      </c>
      <c r="C78" s="13" t="s">
        <v>545</v>
      </c>
      <c r="D78" s="14">
        <v>0.5</v>
      </c>
      <c r="E78" s="19">
        <f t="shared" ca="1" si="1"/>
        <v>42881</v>
      </c>
      <c r="F78" s="12"/>
    </row>
    <row r="79" spans="1:6" x14ac:dyDescent="0.25">
      <c r="A79" s="10">
        <v>1543</v>
      </c>
      <c r="B79" s="10" t="s">
        <v>547</v>
      </c>
      <c r="C79" s="13" t="s">
        <v>548</v>
      </c>
      <c r="D79" s="14">
        <v>0.25</v>
      </c>
      <c r="E79" s="19">
        <f t="shared" ca="1" si="1"/>
        <v>42881</v>
      </c>
      <c r="F79" s="12"/>
    </row>
    <row r="80" spans="1:6" x14ac:dyDescent="0.25">
      <c r="A80" s="10">
        <v>1544</v>
      </c>
      <c r="B80" s="10" t="s">
        <v>549</v>
      </c>
      <c r="C80" s="13" t="s">
        <v>550</v>
      </c>
      <c r="D80" s="14">
        <v>0.5</v>
      </c>
      <c r="E80" s="19">
        <f t="shared" ca="1" si="1"/>
        <v>42881</v>
      </c>
      <c r="F80" s="12"/>
    </row>
    <row r="81" spans="1:6" x14ac:dyDescent="0.25">
      <c r="A81" s="10">
        <v>1546</v>
      </c>
      <c r="B81" s="10" t="s">
        <v>551</v>
      </c>
      <c r="C81" s="13" t="s">
        <v>552</v>
      </c>
      <c r="D81" s="14">
        <v>1</v>
      </c>
      <c r="E81" s="19">
        <f t="shared" ca="1" si="1"/>
        <v>42881</v>
      </c>
      <c r="F81" s="12"/>
    </row>
    <row r="82" spans="1:6" x14ac:dyDescent="0.25">
      <c r="A82" s="10">
        <v>1551</v>
      </c>
      <c r="B82" s="10" t="s">
        <v>553</v>
      </c>
      <c r="C82" s="13" t="s">
        <v>554</v>
      </c>
      <c r="D82" s="14">
        <v>0.5</v>
      </c>
      <c r="E82" s="19">
        <f t="shared" ca="1" si="1"/>
        <v>42881</v>
      </c>
      <c r="F82" s="12"/>
    </row>
    <row r="83" spans="1:6" x14ac:dyDescent="0.25">
      <c r="A83" s="10">
        <v>1553</v>
      </c>
      <c r="B83" s="10" t="s">
        <v>957</v>
      </c>
      <c r="C83" s="13" t="s">
        <v>898</v>
      </c>
      <c r="D83" s="14">
        <v>0.5</v>
      </c>
      <c r="E83" s="19">
        <f t="shared" ca="1" si="1"/>
        <v>42881</v>
      </c>
      <c r="F83" s="12"/>
    </row>
    <row r="84" spans="1:6" x14ac:dyDescent="0.25">
      <c r="A84" s="10">
        <v>1560</v>
      </c>
      <c r="B84" s="10" t="s">
        <v>556</v>
      </c>
      <c r="C84" s="13" t="s">
        <v>557</v>
      </c>
      <c r="D84" s="14">
        <v>0.25</v>
      </c>
      <c r="E84" s="19">
        <f t="shared" ca="1" si="1"/>
        <v>42881</v>
      </c>
      <c r="F84" s="12"/>
    </row>
    <row r="85" spans="1:6" x14ac:dyDescent="0.25">
      <c r="A85" s="10">
        <v>1562</v>
      </c>
      <c r="B85" s="10" t="s">
        <v>558</v>
      </c>
      <c r="C85" s="13" t="s">
        <v>559</v>
      </c>
      <c r="D85" s="14">
        <v>1</v>
      </c>
      <c r="E85" s="19">
        <f t="shared" ca="1" si="1"/>
        <v>42881</v>
      </c>
      <c r="F85" s="12"/>
    </row>
    <row r="86" spans="1:6" x14ac:dyDescent="0.25">
      <c r="A86" s="10">
        <v>1563</v>
      </c>
      <c r="B86" s="10" t="s">
        <v>560</v>
      </c>
      <c r="C86" s="13" t="s">
        <v>561</v>
      </c>
      <c r="D86" s="14">
        <v>0.25</v>
      </c>
      <c r="E86" s="19">
        <f t="shared" ca="1" si="1"/>
        <v>42881</v>
      </c>
      <c r="F86" s="12"/>
    </row>
    <row r="87" spans="1:6" x14ac:dyDescent="0.25">
      <c r="A87" s="10">
        <v>1567</v>
      </c>
      <c r="B87" s="10" t="s">
        <v>562</v>
      </c>
      <c r="C87" s="13" t="s">
        <v>563</v>
      </c>
      <c r="D87" s="14">
        <v>0.5</v>
      </c>
      <c r="E87" s="19">
        <f t="shared" ca="1" si="1"/>
        <v>42881</v>
      </c>
      <c r="F87" s="12"/>
    </row>
    <row r="88" spans="1:6" x14ac:dyDescent="0.25">
      <c r="A88" s="10">
        <v>1568</v>
      </c>
      <c r="B88" s="10" t="s">
        <v>564</v>
      </c>
      <c r="C88" s="13" t="s">
        <v>565</v>
      </c>
      <c r="D88" s="14">
        <v>0.25</v>
      </c>
      <c r="E88" s="19">
        <f t="shared" ca="1" si="1"/>
        <v>42881</v>
      </c>
      <c r="F88" s="12"/>
    </row>
    <row r="89" spans="1:6" x14ac:dyDescent="0.25">
      <c r="A89" s="10">
        <v>1569</v>
      </c>
      <c r="B89" s="10" t="s">
        <v>566</v>
      </c>
      <c r="C89" s="13" t="s">
        <v>567</v>
      </c>
      <c r="D89" s="14">
        <v>0.5</v>
      </c>
      <c r="E89" s="19">
        <f t="shared" ca="1" si="1"/>
        <v>42881</v>
      </c>
      <c r="F89" s="12"/>
    </row>
    <row r="90" spans="1:6" x14ac:dyDescent="0.25">
      <c r="A90" s="10">
        <v>1576</v>
      </c>
      <c r="B90" s="10" t="s">
        <v>958</v>
      </c>
      <c r="C90" s="13" t="s">
        <v>899</v>
      </c>
      <c r="D90" s="14">
        <v>0.5</v>
      </c>
      <c r="E90" s="19">
        <f t="shared" ca="1" si="1"/>
        <v>42881</v>
      </c>
      <c r="F90" s="12"/>
    </row>
    <row r="91" spans="1:6" x14ac:dyDescent="0.25">
      <c r="A91" s="10">
        <v>16</v>
      </c>
      <c r="B91" s="10" t="s">
        <v>17</v>
      </c>
      <c r="C91" s="13" t="s">
        <v>18</v>
      </c>
      <c r="D91" s="14">
        <v>0.25</v>
      </c>
      <c r="E91" s="19">
        <f t="shared" ca="1" si="1"/>
        <v>42881</v>
      </c>
      <c r="F91" s="12"/>
    </row>
    <row r="92" spans="1:6" x14ac:dyDescent="0.25">
      <c r="A92" s="10">
        <v>1600</v>
      </c>
      <c r="B92" s="10" t="s">
        <v>569</v>
      </c>
      <c r="C92" s="13" t="s">
        <v>570</v>
      </c>
      <c r="D92" s="14">
        <v>0.25</v>
      </c>
      <c r="E92" s="19">
        <f t="shared" ca="1" si="1"/>
        <v>42881</v>
      </c>
      <c r="F92" s="12"/>
    </row>
    <row r="93" spans="1:6" x14ac:dyDescent="0.25">
      <c r="A93" s="10">
        <v>1601</v>
      </c>
      <c r="B93" s="10" t="s">
        <v>571</v>
      </c>
      <c r="C93" s="13" t="s">
        <v>572</v>
      </c>
      <c r="D93" s="14">
        <v>0.75</v>
      </c>
      <c r="E93" s="19">
        <f t="shared" ca="1" si="1"/>
        <v>42881</v>
      </c>
      <c r="F93" s="12"/>
    </row>
    <row r="94" spans="1:6" x14ac:dyDescent="0.25">
      <c r="A94" s="10">
        <v>1602</v>
      </c>
      <c r="B94" s="10" t="s">
        <v>959</v>
      </c>
      <c r="C94" s="13" t="s">
        <v>900</v>
      </c>
      <c r="D94" s="14">
        <v>0.5</v>
      </c>
      <c r="E94" s="19">
        <f t="shared" ca="1" si="1"/>
        <v>42881</v>
      </c>
      <c r="F94" s="12"/>
    </row>
    <row r="95" spans="1:6" x14ac:dyDescent="0.25">
      <c r="A95" s="10">
        <v>1603</v>
      </c>
      <c r="B95" s="10" t="s">
        <v>960</v>
      </c>
      <c r="C95" s="13" t="s">
        <v>901</v>
      </c>
      <c r="D95" s="14">
        <v>0.5</v>
      </c>
      <c r="E95" s="19">
        <f t="shared" ca="1" si="1"/>
        <v>42881</v>
      </c>
      <c r="F95" s="12"/>
    </row>
    <row r="96" spans="1:6" x14ac:dyDescent="0.25">
      <c r="A96" s="10">
        <v>1604</v>
      </c>
      <c r="B96" s="10" t="s">
        <v>573</v>
      </c>
      <c r="C96" s="13" t="s">
        <v>574</v>
      </c>
      <c r="D96" s="14">
        <v>1.25</v>
      </c>
      <c r="E96" s="19">
        <f t="shared" ca="1" si="1"/>
        <v>42881</v>
      </c>
      <c r="F96" s="12"/>
    </row>
    <row r="97" spans="1:6" x14ac:dyDescent="0.25">
      <c r="A97" s="10">
        <v>1608</v>
      </c>
      <c r="B97" s="10" t="s">
        <v>575</v>
      </c>
      <c r="C97" s="13" t="s">
        <v>576</v>
      </c>
      <c r="D97" s="14">
        <v>0.25</v>
      </c>
      <c r="E97" s="19">
        <f t="shared" ca="1" si="1"/>
        <v>42881</v>
      </c>
      <c r="F97" s="12"/>
    </row>
    <row r="98" spans="1:6" x14ac:dyDescent="0.25">
      <c r="A98" s="10">
        <v>1610</v>
      </c>
      <c r="B98" s="10" t="s">
        <v>577</v>
      </c>
      <c r="C98" s="13" t="s">
        <v>578</v>
      </c>
      <c r="D98" s="14">
        <v>0.25</v>
      </c>
      <c r="E98" s="19">
        <f t="shared" ca="1" si="1"/>
        <v>42881</v>
      </c>
      <c r="F98" s="12"/>
    </row>
    <row r="99" spans="1:6" x14ac:dyDescent="0.25">
      <c r="A99" s="10">
        <v>1615</v>
      </c>
      <c r="B99" s="10" t="s">
        <v>579</v>
      </c>
      <c r="C99" s="13" t="s">
        <v>580</v>
      </c>
      <c r="D99" s="14">
        <v>0.25</v>
      </c>
      <c r="E99" s="19">
        <f t="shared" ca="1" si="1"/>
        <v>42881</v>
      </c>
      <c r="F99" s="12"/>
    </row>
    <row r="100" spans="1:6" x14ac:dyDescent="0.25">
      <c r="A100" s="10">
        <v>163</v>
      </c>
      <c r="B100" s="10" t="s">
        <v>111</v>
      </c>
      <c r="C100" s="13" t="s">
        <v>112</v>
      </c>
      <c r="D100" s="14">
        <v>0.25</v>
      </c>
      <c r="E100" s="19">
        <f t="shared" ca="1" si="1"/>
        <v>42881</v>
      </c>
      <c r="F100" s="12"/>
    </row>
    <row r="101" spans="1:6" x14ac:dyDescent="0.25">
      <c r="A101" s="10">
        <v>1632</v>
      </c>
      <c r="B101" s="10" t="s">
        <v>581</v>
      </c>
      <c r="C101" s="13" t="s">
        <v>582</v>
      </c>
      <c r="D101" s="14">
        <v>0.25</v>
      </c>
      <c r="E101" s="19">
        <f t="shared" ca="1" si="1"/>
        <v>42881</v>
      </c>
      <c r="F101" s="12"/>
    </row>
    <row r="102" spans="1:6" x14ac:dyDescent="0.25">
      <c r="A102" s="10">
        <v>17</v>
      </c>
      <c r="B102" s="10" t="s">
        <v>19</v>
      </c>
      <c r="C102" s="13" t="s">
        <v>20</v>
      </c>
      <c r="D102" s="14">
        <v>0.5</v>
      </c>
      <c r="E102" s="19">
        <f t="shared" ca="1" si="1"/>
        <v>42881</v>
      </c>
      <c r="F102" s="12"/>
    </row>
    <row r="103" spans="1:6" x14ac:dyDescent="0.25">
      <c r="A103" s="10">
        <v>1700</v>
      </c>
      <c r="B103" s="10" t="s">
        <v>584</v>
      </c>
      <c r="C103" s="13" t="s">
        <v>585</v>
      </c>
      <c r="D103" s="14">
        <v>1</v>
      </c>
      <c r="E103" s="19">
        <f t="shared" ca="1" si="1"/>
        <v>42881</v>
      </c>
      <c r="F103" s="12"/>
    </row>
    <row r="104" spans="1:6" x14ac:dyDescent="0.25">
      <c r="A104" s="10">
        <v>1704</v>
      </c>
      <c r="B104" s="10" t="s">
        <v>588</v>
      </c>
      <c r="C104" s="13" t="s">
        <v>589</v>
      </c>
      <c r="D104" s="14">
        <v>0.25</v>
      </c>
      <c r="E104" s="19">
        <f t="shared" ca="1" si="1"/>
        <v>42881</v>
      </c>
      <c r="F104" s="12"/>
    </row>
    <row r="105" spans="1:6" x14ac:dyDescent="0.25">
      <c r="A105" s="10">
        <v>1706</v>
      </c>
      <c r="B105" s="10" t="s">
        <v>590</v>
      </c>
      <c r="C105" s="13" t="s">
        <v>591</v>
      </c>
      <c r="D105" s="14">
        <v>1</v>
      </c>
      <c r="E105" s="19">
        <f t="shared" ca="1" si="1"/>
        <v>42881</v>
      </c>
      <c r="F105" s="12"/>
    </row>
    <row r="106" spans="1:6" x14ac:dyDescent="0.25">
      <c r="A106" s="10">
        <v>1717</v>
      </c>
      <c r="B106" s="10" t="s">
        <v>961</v>
      </c>
      <c r="C106" s="13" t="s">
        <v>902</v>
      </c>
      <c r="D106" s="14">
        <v>0.25</v>
      </c>
      <c r="E106" s="19">
        <f t="shared" ca="1" si="1"/>
        <v>42881</v>
      </c>
      <c r="F106" s="12"/>
    </row>
    <row r="107" spans="1:6" x14ac:dyDescent="0.25">
      <c r="A107" s="10">
        <v>1720</v>
      </c>
      <c r="B107" s="10" t="s">
        <v>593</v>
      </c>
      <c r="C107" s="13" t="s">
        <v>594</v>
      </c>
      <c r="D107" s="14">
        <v>0.25</v>
      </c>
      <c r="E107" s="19">
        <f t="shared" ca="1" si="1"/>
        <v>42881</v>
      </c>
      <c r="F107" s="12"/>
    </row>
    <row r="108" spans="1:6" x14ac:dyDescent="0.25">
      <c r="A108" s="10">
        <v>1724</v>
      </c>
      <c r="B108" s="10" t="s">
        <v>595</v>
      </c>
      <c r="C108" s="13" t="s">
        <v>596</v>
      </c>
      <c r="D108" s="14">
        <v>2</v>
      </c>
      <c r="E108" s="19">
        <f t="shared" ca="1" si="1"/>
        <v>42881</v>
      </c>
      <c r="F108" s="12"/>
    </row>
    <row r="109" spans="1:6" x14ac:dyDescent="0.25">
      <c r="A109" s="10">
        <v>1727</v>
      </c>
      <c r="B109" s="10" t="s">
        <v>597</v>
      </c>
      <c r="C109" s="13" t="s">
        <v>598</v>
      </c>
      <c r="D109" s="14">
        <v>1</v>
      </c>
      <c r="E109" s="19">
        <f t="shared" ca="1" si="1"/>
        <v>42881</v>
      </c>
      <c r="F109" s="12"/>
    </row>
    <row r="110" spans="1:6" x14ac:dyDescent="0.25">
      <c r="A110" s="10">
        <v>1729</v>
      </c>
      <c r="B110" s="10" t="s">
        <v>599</v>
      </c>
      <c r="C110" s="13" t="s">
        <v>600</v>
      </c>
      <c r="D110" s="14">
        <v>0.25</v>
      </c>
      <c r="E110" s="19">
        <f t="shared" ca="1" si="1"/>
        <v>42881</v>
      </c>
      <c r="F110" s="12"/>
    </row>
    <row r="111" spans="1:6" x14ac:dyDescent="0.25">
      <c r="A111" s="10">
        <v>1733</v>
      </c>
      <c r="B111" s="10" t="s">
        <v>601</v>
      </c>
      <c r="C111" s="13" t="s">
        <v>602</v>
      </c>
      <c r="D111" s="14">
        <v>0.25</v>
      </c>
      <c r="E111" s="19">
        <f t="shared" ca="1" si="1"/>
        <v>42881</v>
      </c>
      <c r="F111" s="12"/>
    </row>
    <row r="112" spans="1:6" x14ac:dyDescent="0.25">
      <c r="A112" s="10">
        <v>1737</v>
      </c>
      <c r="B112" s="10" t="s">
        <v>603</v>
      </c>
      <c r="C112" s="13" t="s">
        <v>604</v>
      </c>
      <c r="D112" s="14">
        <v>0.25</v>
      </c>
      <c r="E112" s="19">
        <f t="shared" ca="1" si="1"/>
        <v>42881</v>
      </c>
      <c r="F112" s="12"/>
    </row>
    <row r="113" spans="1:6" x14ac:dyDescent="0.25">
      <c r="A113" s="10">
        <v>1740</v>
      </c>
      <c r="B113" s="10" t="s">
        <v>605</v>
      </c>
      <c r="C113" s="13" t="s">
        <v>606</v>
      </c>
      <c r="D113" s="14">
        <v>0.5</v>
      </c>
      <c r="E113" s="19">
        <f t="shared" ca="1" si="1"/>
        <v>42881</v>
      </c>
      <c r="F113" s="12"/>
    </row>
    <row r="114" spans="1:6" x14ac:dyDescent="0.25">
      <c r="A114" s="10">
        <v>1751</v>
      </c>
      <c r="B114" s="10" t="s">
        <v>607</v>
      </c>
      <c r="C114" s="13" t="s">
        <v>608</v>
      </c>
      <c r="D114" s="14">
        <v>0.5</v>
      </c>
      <c r="E114" s="19">
        <f t="shared" ca="1" si="1"/>
        <v>42881</v>
      </c>
      <c r="F114" s="12"/>
    </row>
    <row r="115" spans="1:6" x14ac:dyDescent="0.25">
      <c r="A115" s="10">
        <v>1752</v>
      </c>
      <c r="B115" s="10" t="s">
        <v>609</v>
      </c>
      <c r="C115" s="13" t="s">
        <v>610</v>
      </c>
      <c r="D115" s="14">
        <v>0.25</v>
      </c>
      <c r="E115" s="19">
        <f t="shared" ca="1" si="1"/>
        <v>42881</v>
      </c>
      <c r="F115" s="12"/>
    </row>
    <row r="116" spans="1:6" x14ac:dyDescent="0.25">
      <c r="A116" s="10">
        <v>1753</v>
      </c>
      <c r="B116" s="10" t="s">
        <v>611</v>
      </c>
      <c r="C116" s="13" t="s">
        <v>612</v>
      </c>
      <c r="D116" s="14">
        <v>0.5</v>
      </c>
      <c r="E116" s="19">
        <f t="shared" ca="1" si="1"/>
        <v>42881</v>
      </c>
      <c r="F116" s="12"/>
    </row>
    <row r="117" spans="1:6" x14ac:dyDescent="0.25">
      <c r="A117" s="10">
        <v>1755</v>
      </c>
      <c r="B117" s="10" t="s">
        <v>613</v>
      </c>
      <c r="C117" s="13" t="s">
        <v>614</v>
      </c>
      <c r="D117" s="14">
        <v>0.75</v>
      </c>
      <c r="E117" s="19">
        <f t="shared" ca="1" si="1"/>
        <v>42881</v>
      </c>
      <c r="F117" s="12"/>
    </row>
    <row r="118" spans="1:6" x14ac:dyDescent="0.25">
      <c r="A118" s="10">
        <v>1756</v>
      </c>
      <c r="B118" s="10" t="s">
        <v>615</v>
      </c>
      <c r="C118" s="13" t="s">
        <v>616</v>
      </c>
      <c r="D118" s="14">
        <v>0.25</v>
      </c>
      <c r="E118" s="19">
        <f t="shared" ca="1" si="1"/>
        <v>42881</v>
      </c>
      <c r="F118" s="12"/>
    </row>
    <row r="119" spans="1:6" x14ac:dyDescent="0.25">
      <c r="A119" s="10">
        <v>1758</v>
      </c>
      <c r="B119" s="10" t="s">
        <v>617</v>
      </c>
      <c r="C119" s="13" t="s">
        <v>618</v>
      </c>
      <c r="D119" s="14">
        <v>0.25</v>
      </c>
      <c r="E119" s="19">
        <f t="shared" ca="1" si="1"/>
        <v>42881</v>
      </c>
      <c r="F119" s="12"/>
    </row>
    <row r="120" spans="1:6" x14ac:dyDescent="0.25">
      <c r="A120" s="10">
        <v>1762</v>
      </c>
      <c r="B120" s="10" t="s">
        <v>621</v>
      </c>
      <c r="C120" s="13" t="s">
        <v>622</v>
      </c>
      <c r="D120" s="14">
        <v>0.25</v>
      </c>
      <c r="E120" s="19">
        <f t="shared" ca="1" si="1"/>
        <v>42881</v>
      </c>
      <c r="F120" s="12"/>
    </row>
    <row r="121" spans="1:6" x14ac:dyDescent="0.25">
      <c r="A121" s="10">
        <v>1765</v>
      </c>
      <c r="B121" s="10" t="s">
        <v>623</v>
      </c>
      <c r="C121" s="13" t="s">
        <v>624</v>
      </c>
      <c r="D121" s="14">
        <v>0.25</v>
      </c>
      <c r="E121" s="19">
        <f t="shared" ca="1" si="1"/>
        <v>42881</v>
      </c>
      <c r="F121" s="12"/>
    </row>
    <row r="122" spans="1:6" x14ac:dyDescent="0.25">
      <c r="A122" s="10">
        <v>1766</v>
      </c>
      <c r="B122" s="10" t="s">
        <v>625</v>
      </c>
      <c r="C122" s="13" t="s">
        <v>626</v>
      </c>
      <c r="D122" s="14">
        <v>0.25</v>
      </c>
      <c r="E122" s="19">
        <f t="shared" ca="1" si="1"/>
        <v>42881</v>
      </c>
      <c r="F122" s="12"/>
    </row>
    <row r="123" spans="1:6" x14ac:dyDescent="0.25">
      <c r="A123" s="10">
        <v>1773</v>
      </c>
      <c r="B123" s="10" t="s">
        <v>628</v>
      </c>
      <c r="C123" s="13" t="s">
        <v>629</v>
      </c>
      <c r="D123" s="14">
        <v>3.25</v>
      </c>
      <c r="E123" s="19">
        <f t="shared" ca="1" si="1"/>
        <v>42881</v>
      </c>
      <c r="F123" s="12"/>
    </row>
    <row r="124" spans="1:6" x14ac:dyDescent="0.25">
      <c r="A124" s="10">
        <v>1775</v>
      </c>
      <c r="B124" s="10" t="s">
        <v>630</v>
      </c>
      <c r="C124" s="13" t="s">
        <v>631</v>
      </c>
      <c r="D124" s="14">
        <v>0.5</v>
      </c>
      <c r="E124" s="19">
        <f t="shared" ca="1" si="1"/>
        <v>42881</v>
      </c>
      <c r="F124" s="12"/>
    </row>
    <row r="125" spans="1:6" x14ac:dyDescent="0.25">
      <c r="A125" s="10">
        <v>1780</v>
      </c>
      <c r="B125" s="10" t="s">
        <v>633</v>
      </c>
      <c r="C125" s="13" t="s">
        <v>634</v>
      </c>
      <c r="D125" s="14">
        <v>0.25</v>
      </c>
      <c r="E125" s="19">
        <f t="shared" ca="1" si="1"/>
        <v>42881</v>
      </c>
      <c r="F125" s="12"/>
    </row>
    <row r="126" spans="1:6" x14ac:dyDescent="0.25">
      <c r="A126" s="10">
        <v>1786</v>
      </c>
      <c r="B126" s="10" t="s">
        <v>636</v>
      </c>
      <c r="C126" s="13" t="s">
        <v>637</v>
      </c>
      <c r="D126" s="14">
        <v>2</v>
      </c>
      <c r="E126" s="19">
        <f t="shared" ca="1" si="1"/>
        <v>42881</v>
      </c>
      <c r="F126" s="12"/>
    </row>
    <row r="127" spans="1:6" x14ac:dyDescent="0.25">
      <c r="A127" s="10">
        <v>1789</v>
      </c>
      <c r="B127" s="10" t="s">
        <v>962</v>
      </c>
      <c r="C127" s="13" t="s">
        <v>903</v>
      </c>
      <c r="D127" s="14">
        <v>0.25</v>
      </c>
      <c r="E127" s="19">
        <f t="shared" ca="1" si="1"/>
        <v>42881</v>
      </c>
      <c r="F127" s="12"/>
    </row>
    <row r="128" spans="1:6" x14ac:dyDescent="0.25">
      <c r="A128" s="10">
        <v>1799</v>
      </c>
      <c r="B128" s="10" t="s">
        <v>963</v>
      </c>
      <c r="C128" s="13" t="s">
        <v>904</v>
      </c>
      <c r="D128" s="14">
        <v>0.5</v>
      </c>
      <c r="E128" s="19">
        <f t="shared" ca="1" si="1"/>
        <v>42881</v>
      </c>
      <c r="F128" s="12"/>
    </row>
    <row r="129" spans="1:6" x14ac:dyDescent="0.25">
      <c r="A129" s="10">
        <v>1800</v>
      </c>
      <c r="B129" s="10" t="s">
        <v>640</v>
      </c>
      <c r="C129" s="13" t="s">
        <v>641</v>
      </c>
      <c r="D129" s="14">
        <v>1</v>
      </c>
      <c r="E129" s="19">
        <f t="shared" ca="1" si="1"/>
        <v>42881</v>
      </c>
      <c r="F129" s="12"/>
    </row>
    <row r="130" spans="1:6" x14ac:dyDescent="0.25">
      <c r="A130" s="10">
        <v>1801</v>
      </c>
      <c r="B130" s="10" t="s">
        <v>642</v>
      </c>
      <c r="C130" s="13" t="s">
        <v>643</v>
      </c>
      <c r="D130" s="14">
        <v>0.75</v>
      </c>
      <c r="E130" s="19">
        <f t="shared" ca="1" si="1"/>
        <v>42881</v>
      </c>
      <c r="F130" s="12"/>
    </row>
    <row r="131" spans="1:6" x14ac:dyDescent="0.25">
      <c r="A131" s="10">
        <v>1802</v>
      </c>
      <c r="B131" s="10" t="s">
        <v>644</v>
      </c>
      <c r="C131" s="13" t="s">
        <v>645</v>
      </c>
      <c r="D131" s="14">
        <v>0.25</v>
      </c>
      <c r="E131" s="19">
        <f t="shared" ref="E131:E194" ca="1" si="2">TODAY()</f>
        <v>42881</v>
      </c>
      <c r="F131" s="12"/>
    </row>
    <row r="132" spans="1:6" x14ac:dyDescent="0.25">
      <c r="A132" s="10">
        <v>1803</v>
      </c>
      <c r="B132" s="10" t="s">
        <v>646</v>
      </c>
      <c r="C132" s="13" t="s">
        <v>647</v>
      </c>
      <c r="D132" s="14">
        <v>0.25</v>
      </c>
      <c r="E132" s="19">
        <f t="shared" ca="1" si="2"/>
        <v>42881</v>
      </c>
      <c r="F132" s="12"/>
    </row>
    <row r="133" spans="1:6" x14ac:dyDescent="0.25">
      <c r="A133" s="10">
        <v>1808</v>
      </c>
      <c r="B133" s="10" t="s">
        <v>649</v>
      </c>
      <c r="C133" s="13" t="s">
        <v>650</v>
      </c>
      <c r="D133" s="14">
        <v>1</v>
      </c>
      <c r="E133" s="19">
        <f t="shared" ca="1" si="2"/>
        <v>42881</v>
      </c>
      <c r="F133" s="12"/>
    </row>
    <row r="134" spans="1:6" x14ac:dyDescent="0.25">
      <c r="A134" s="10">
        <v>1812</v>
      </c>
      <c r="B134" s="10" t="s">
        <v>651</v>
      </c>
      <c r="C134" s="13" t="s">
        <v>652</v>
      </c>
      <c r="D134" s="14">
        <v>0.25</v>
      </c>
      <c r="E134" s="19">
        <f t="shared" ca="1" si="2"/>
        <v>42881</v>
      </c>
      <c r="F134" s="12"/>
    </row>
    <row r="135" spans="1:6" x14ac:dyDescent="0.25">
      <c r="A135" s="10">
        <v>1817</v>
      </c>
      <c r="B135" s="10" t="s">
        <v>653</v>
      </c>
      <c r="C135" s="13" t="s">
        <v>654</v>
      </c>
      <c r="D135" s="14">
        <v>0.25</v>
      </c>
      <c r="E135" s="19">
        <f t="shared" ca="1" si="2"/>
        <v>42881</v>
      </c>
      <c r="F135" s="12"/>
    </row>
    <row r="136" spans="1:6" x14ac:dyDescent="0.25">
      <c r="A136" s="10">
        <v>1819</v>
      </c>
      <c r="B136" s="10" t="s">
        <v>655</v>
      </c>
      <c r="C136" s="13" t="s">
        <v>656</v>
      </c>
      <c r="D136" s="14">
        <v>0.25</v>
      </c>
      <c r="E136" s="19">
        <f t="shared" ca="1" si="2"/>
        <v>42881</v>
      </c>
      <c r="F136" s="12"/>
    </row>
    <row r="137" spans="1:6" x14ac:dyDescent="0.25">
      <c r="A137" s="10">
        <v>182</v>
      </c>
      <c r="B137" s="10" t="s">
        <v>113</v>
      </c>
      <c r="C137" s="13" t="s">
        <v>114</v>
      </c>
      <c r="D137" s="14">
        <v>0.25</v>
      </c>
      <c r="E137" s="19">
        <f t="shared" ca="1" si="2"/>
        <v>42881</v>
      </c>
      <c r="F137" s="12"/>
    </row>
    <row r="138" spans="1:6" x14ac:dyDescent="0.25">
      <c r="A138" s="10">
        <v>1820</v>
      </c>
      <c r="B138" s="10" t="s">
        <v>657</v>
      </c>
      <c r="C138" s="13" t="s">
        <v>658</v>
      </c>
      <c r="D138" s="14">
        <v>0.25</v>
      </c>
      <c r="E138" s="19">
        <f t="shared" ca="1" si="2"/>
        <v>42881</v>
      </c>
      <c r="F138" s="12"/>
    </row>
    <row r="139" spans="1:6" x14ac:dyDescent="0.25">
      <c r="A139" s="10">
        <v>183</v>
      </c>
      <c r="B139" s="10" t="s">
        <v>115</v>
      </c>
      <c r="C139" s="13" t="s">
        <v>116</v>
      </c>
      <c r="D139" s="14">
        <v>1.25</v>
      </c>
      <c r="E139" s="19">
        <f t="shared" ca="1" si="2"/>
        <v>42881</v>
      </c>
      <c r="F139" s="12"/>
    </row>
    <row r="140" spans="1:6" x14ac:dyDescent="0.25">
      <c r="A140" s="10">
        <v>19</v>
      </c>
      <c r="B140" s="10" t="s">
        <v>21</v>
      </c>
      <c r="C140" s="13" t="s">
        <v>22</v>
      </c>
      <c r="D140" s="14">
        <v>1</v>
      </c>
      <c r="E140" s="19">
        <f t="shared" ca="1" si="2"/>
        <v>42881</v>
      </c>
      <c r="F140" s="12"/>
    </row>
    <row r="141" spans="1:6" x14ac:dyDescent="0.25">
      <c r="A141" s="10">
        <v>2</v>
      </c>
      <c r="B141" s="10" t="s">
        <v>3</v>
      </c>
      <c r="C141" s="13" t="s">
        <v>4</v>
      </c>
      <c r="D141" s="14">
        <v>0.25</v>
      </c>
      <c r="E141" s="19">
        <f t="shared" ca="1" si="2"/>
        <v>42881</v>
      </c>
      <c r="F141" s="12"/>
    </row>
    <row r="142" spans="1:6" x14ac:dyDescent="0.25">
      <c r="A142" s="10">
        <v>209</v>
      </c>
      <c r="B142" s="10" t="s">
        <v>117</v>
      </c>
      <c r="C142" s="13" t="s">
        <v>118</v>
      </c>
      <c r="D142" s="14">
        <v>0.5</v>
      </c>
      <c r="E142" s="19">
        <f t="shared" ca="1" si="2"/>
        <v>42881</v>
      </c>
      <c r="F142" s="12"/>
    </row>
    <row r="143" spans="1:6" x14ac:dyDescent="0.25">
      <c r="A143" s="10">
        <v>21</v>
      </c>
      <c r="B143" s="10" t="s">
        <v>23</v>
      </c>
      <c r="C143" s="13" t="s">
        <v>24</v>
      </c>
      <c r="D143" s="14">
        <v>0.25</v>
      </c>
      <c r="E143" s="19">
        <f t="shared" ca="1" si="2"/>
        <v>42881</v>
      </c>
      <c r="F143" s="12"/>
    </row>
    <row r="144" spans="1:6" x14ac:dyDescent="0.25">
      <c r="A144" s="10">
        <v>216</v>
      </c>
      <c r="B144" s="10" t="s">
        <v>119</v>
      </c>
      <c r="C144" s="13" t="s">
        <v>120</v>
      </c>
      <c r="D144" s="14">
        <v>1</v>
      </c>
      <c r="E144" s="19">
        <f t="shared" ca="1" si="2"/>
        <v>42881</v>
      </c>
      <c r="F144" s="12"/>
    </row>
    <row r="145" spans="1:6" x14ac:dyDescent="0.25">
      <c r="A145" s="10">
        <v>2197</v>
      </c>
      <c r="B145" s="10" t="s">
        <v>660</v>
      </c>
      <c r="C145" s="13" t="s">
        <v>661</v>
      </c>
      <c r="D145" s="14">
        <v>0.5</v>
      </c>
      <c r="E145" s="19">
        <f t="shared" ca="1" si="2"/>
        <v>42881</v>
      </c>
      <c r="F145" s="12"/>
    </row>
    <row r="146" spans="1:6" x14ac:dyDescent="0.25">
      <c r="A146" s="10">
        <v>2240</v>
      </c>
      <c r="B146" s="10" t="s">
        <v>663</v>
      </c>
      <c r="C146" s="13" t="s">
        <v>664</v>
      </c>
      <c r="D146" s="14">
        <v>0.25</v>
      </c>
      <c r="E146" s="19">
        <f t="shared" ca="1" si="2"/>
        <v>42881</v>
      </c>
      <c r="F146" s="12"/>
    </row>
    <row r="147" spans="1:6" x14ac:dyDescent="0.25">
      <c r="A147" s="10">
        <v>2242</v>
      </c>
      <c r="B147" s="10" t="s">
        <v>665</v>
      </c>
      <c r="C147" s="13" t="s">
        <v>666</v>
      </c>
      <c r="D147" s="14">
        <v>0.25</v>
      </c>
      <c r="E147" s="19">
        <f t="shared" ca="1" si="2"/>
        <v>42881</v>
      </c>
      <c r="F147" s="12"/>
    </row>
    <row r="148" spans="1:6" x14ac:dyDescent="0.25">
      <c r="A148" s="10">
        <v>2243</v>
      </c>
      <c r="B148" s="10" t="s">
        <v>667</v>
      </c>
      <c r="C148" s="13" t="s">
        <v>668</v>
      </c>
      <c r="D148" s="14">
        <v>0.25</v>
      </c>
      <c r="E148" s="19">
        <f t="shared" ca="1" si="2"/>
        <v>42881</v>
      </c>
      <c r="F148" s="12"/>
    </row>
    <row r="149" spans="1:6" x14ac:dyDescent="0.25">
      <c r="A149" s="10">
        <v>2256</v>
      </c>
      <c r="B149" s="10" t="s">
        <v>669</v>
      </c>
      <c r="C149" s="13" t="s">
        <v>670</v>
      </c>
      <c r="D149" s="14">
        <v>0.70000000000000007</v>
      </c>
      <c r="E149" s="19">
        <f t="shared" ca="1" si="2"/>
        <v>42881</v>
      </c>
      <c r="F149" s="12"/>
    </row>
    <row r="150" spans="1:6" x14ac:dyDescent="0.25">
      <c r="A150" s="10">
        <v>227</v>
      </c>
      <c r="B150" s="10" t="s">
        <v>121</v>
      </c>
      <c r="C150" s="13" t="s">
        <v>122</v>
      </c>
      <c r="D150" s="14">
        <v>0.5</v>
      </c>
      <c r="E150" s="19">
        <f t="shared" ca="1" si="2"/>
        <v>42881</v>
      </c>
      <c r="F150" s="12"/>
    </row>
    <row r="151" spans="1:6" x14ac:dyDescent="0.25">
      <c r="A151" s="10">
        <v>2287</v>
      </c>
      <c r="B151" s="10" t="s">
        <v>964</v>
      </c>
      <c r="C151" s="13" t="s">
        <v>905</v>
      </c>
      <c r="D151" s="14">
        <v>0.25</v>
      </c>
      <c r="E151" s="19">
        <f t="shared" ca="1" si="2"/>
        <v>42881</v>
      </c>
      <c r="F151" s="12"/>
    </row>
    <row r="152" spans="1:6" x14ac:dyDescent="0.25">
      <c r="A152" s="10">
        <v>2297</v>
      </c>
      <c r="B152" s="10" t="s">
        <v>965</v>
      </c>
      <c r="C152" s="13" t="s">
        <v>906</v>
      </c>
      <c r="D152" s="14">
        <v>0.25</v>
      </c>
      <c r="E152" s="19">
        <f t="shared" ca="1" si="2"/>
        <v>42881</v>
      </c>
      <c r="F152" s="12"/>
    </row>
    <row r="153" spans="1:6" x14ac:dyDescent="0.25">
      <c r="A153" s="10">
        <v>2298</v>
      </c>
      <c r="B153" s="10" t="s">
        <v>671</v>
      </c>
      <c r="C153" s="13" t="s">
        <v>672</v>
      </c>
      <c r="D153" s="14">
        <v>0.35000000000000003</v>
      </c>
      <c r="E153" s="19">
        <f t="shared" ca="1" si="2"/>
        <v>42881</v>
      </c>
      <c r="F153" s="12"/>
    </row>
    <row r="154" spans="1:6" x14ac:dyDescent="0.25">
      <c r="A154" s="10">
        <v>2302</v>
      </c>
      <c r="B154" s="10" t="s">
        <v>673</v>
      </c>
      <c r="C154" s="13" t="s">
        <v>674</v>
      </c>
      <c r="D154" s="14">
        <v>0.5</v>
      </c>
      <c r="E154" s="19">
        <f t="shared" ca="1" si="2"/>
        <v>42881</v>
      </c>
      <c r="F154" s="12"/>
    </row>
    <row r="155" spans="1:6" x14ac:dyDescent="0.25">
      <c r="A155" s="10">
        <v>2308</v>
      </c>
      <c r="B155" s="10" t="s">
        <v>676</v>
      </c>
      <c r="C155" s="13" t="s">
        <v>677</v>
      </c>
      <c r="D155" s="14">
        <v>0.5</v>
      </c>
      <c r="E155" s="19">
        <f t="shared" ca="1" si="2"/>
        <v>42881</v>
      </c>
      <c r="F155" s="12"/>
    </row>
    <row r="156" spans="1:6" x14ac:dyDescent="0.25">
      <c r="A156" s="10">
        <v>2350</v>
      </c>
      <c r="B156" s="10" t="s">
        <v>679</v>
      </c>
      <c r="C156" s="13" t="s">
        <v>680</v>
      </c>
      <c r="D156" s="14">
        <v>1</v>
      </c>
      <c r="E156" s="19">
        <f t="shared" ca="1" si="2"/>
        <v>42881</v>
      </c>
      <c r="F156" s="12"/>
    </row>
    <row r="157" spans="1:6" x14ac:dyDescent="0.25">
      <c r="A157" s="10">
        <v>2352</v>
      </c>
      <c r="B157" s="10" t="s">
        <v>681</v>
      </c>
      <c r="C157" s="13" t="s">
        <v>682</v>
      </c>
      <c r="D157" s="14">
        <v>0.75</v>
      </c>
      <c r="E157" s="19">
        <f t="shared" ca="1" si="2"/>
        <v>42881</v>
      </c>
      <c r="F157" s="12"/>
    </row>
    <row r="158" spans="1:6" x14ac:dyDescent="0.25">
      <c r="A158" s="10">
        <v>2382</v>
      </c>
      <c r="B158" s="10" t="s">
        <v>684</v>
      </c>
      <c r="C158" s="13" t="s">
        <v>685</v>
      </c>
      <c r="D158" s="14">
        <v>0.25</v>
      </c>
      <c r="E158" s="19">
        <f t="shared" ca="1" si="2"/>
        <v>42881</v>
      </c>
      <c r="F158" s="12"/>
    </row>
    <row r="159" spans="1:6" x14ac:dyDescent="0.25">
      <c r="A159" s="10">
        <v>2390</v>
      </c>
      <c r="B159" s="10" t="s">
        <v>686</v>
      </c>
      <c r="C159" s="13" t="s">
        <v>687</v>
      </c>
      <c r="D159" s="14">
        <v>0.75</v>
      </c>
      <c r="E159" s="19">
        <f t="shared" ca="1" si="2"/>
        <v>42881</v>
      </c>
      <c r="F159" s="12"/>
    </row>
    <row r="160" spans="1:6" x14ac:dyDescent="0.25">
      <c r="A160" s="10">
        <v>24</v>
      </c>
      <c r="B160" s="10" t="s">
        <v>921</v>
      </c>
      <c r="C160" s="13" t="s">
        <v>862</v>
      </c>
      <c r="D160" s="14">
        <v>0.75</v>
      </c>
      <c r="E160" s="19">
        <f t="shared" ca="1" si="2"/>
        <v>42881</v>
      </c>
      <c r="F160" s="12"/>
    </row>
    <row r="161" spans="1:6" x14ac:dyDescent="0.25">
      <c r="A161" s="10">
        <v>240</v>
      </c>
      <c r="B161" s="10" t="s">
        <v>931</v>
      </c>
      <c r="C161" s="13" t="s">
        <v>872</v>
      </c>
      <c r="D161" s="14">
        <v>1</v>
      </c>
      <c r="E161" s="19">
        <f t="shared" ca="1" si="2"/>
        <v>42881</v>
      </c>
      <c r="F161" s="12"/>
    </row>
    <row r="162" spans="1:6" x14ac:dyDescent="0.25">
      <c r="A162" s="10">
        <v>2409</v>
      </c>
      <c r="B162" s="10" t="s">
        <v>966</v>
      </c>
      <c r="C162" s="13" t="s">
        <v>907</v>
      </c>
      <c r="D162" s="14">
        <v>3</v>
      </c>
      <c r="E162" s="19">
        <f t="shared" ca="1" si="2"/>
        <v>42881</v>
      </c>
      <c r="F162" s="12"/>
    </row>
    <row r="163" spans="1:6" x14ac:dyDescent="0.25">
      <c r="A163" s="10">
        <v>241</v>
      </c>
      <c r="B163" s="10" t="s">
        <v>123</v>
      </c>
      <c r="C163" s="13" t="s">
        <v>124</v>
      </c>
      <c r="D163" s="14">
        <v>0.5</v>
      </c>
      <c r="E163" s="19">
        <f t="shared" ca="1" si="2"/>
        <v>42881</v>
      </c>
      <c r="F163" s="12"/>
    </row>
    <row r="164" spans="1:6" x14ac:dyDescent="0.25">
      <c r="A164" s="10">
        <v>2413</v>
      </c>
      <c r="B164" s="10" t="s">
        <v>688</v>
      </c>
      <c r="C164" s="13" t="s">
        <v>689</v>
      </c>
      <c r="D164" s="14">
        <v>0.75</v>
      </c>
      <c r="E164" s="19">
        <f t="shared" ca="1" si="2"/>
        <v>42881</v>
      </c>
      <c r="F164" s="12"/>
    </row>
    <row r="165" spans="1:6" x14ac:dyDescent="0.25">
      <c r="A165" s="10">
        <v>2422</v>
      </c>
      <c r="B165" s="10" t="s">
        <v>967</v>
      </c>
      <c r="C165" s="13" t="s">
        <v>908</v>
      </c>
      <c r="D165" s="14">
        <v>0.5</v>
      </c>
      <c r="E165" s="19">
        <f t="shared" ca="1" si="2"/>
        <v>42881</v>
      </c>
      <c r="F165" s="12"/>
    </row>
    <row r="166" spans="1:6" x14ac:dyDescent="0.25">
      <c r="A166" s="10">
        <v>2426</v>
      </c>
      <c r="B166" s="10" t="s">
        <v>690</v>
      </c>
      <c r="C166" s="13" t="s">
        <v>691</v>
      </c>
      <c r="D166" s="14">
        <v>0.25</v>
      </c>
      <c r="E166" s="19">
        <f t="shared" ca="1" si="2"/>
        <v>42881</v>
      </c>
      <c r="F166" s="12"/>
    </row>
    <row r="167" spans="1:6" x14ac:dyDescent="0.25">
      <c r="A167" s="10">
        <v>2440</v>
      </c>
      <c r="B167" s="10" t="s">
        <v>692</v>
      </c>
      <c r="C167" s="13" t="s">
        <v>693</v>
      </c>
      <c r="D167" s="14">
        <v>0.25</v>
      </c>
      <c r="E167" s="19">
        <f t="shared" ca="1" si="2"/>
        <v>42881</v>
      </c>
      <c r="F167" s="12"/>
    </row>
    <row r="168" spans="1:6" x14ac:dyDescent="0.25">
      <c r="A168" s="10">
        <v>2441</v>
      </c>
      <c r="B168" s="10" t="s">
        <v>694</v>
      </c>
      <c r="C168" s="13" t="s">
        <v>695</v>
      </c>
      <c r="D168" s="14">
        <v>0.1</v>
      </c>
      <c r="E168" s="19">
        <f t="shared" ca="1" si="2"/>
        <v>42881</v>
      </c>
      <c r="F168" s="12"/>
    </row>
    <row r="169" spans="1:6" x14ac:dyDescent="0.25">
      <c r="A169" s="10">
        <v>2442</v>
      </c>
      <c r="B169" s="10" t="s">
        <v>696</v>
      </c>
      <c r="C169" s="13" t="s">
        <v>697</v>
      </c>
      <c r="D169" s="14">
        <v>0.5</v>
      </c>
      <c r="E169" s="19">
        <f t="shared" ca="1" si="2"/>
        <v>42881</v>
      </c>
      <c r="F169" s="12"/>
    </row>
    <row r="170" spans="1:6" x14ac:dyDescent="0.25">
      <c r="A170" s="10">
        <v>2446</v>
      </c>
      <c r="B170" s="10" t="s">
        <v>698</v>
      </c>
      <c r="C170" s="13" t="s">
        <v>699</v>
      </c>
      <c r="D170" s="14">
        <v>0.5</v>
      </c>
      <c r="E170" s="19">
        <f t="shared" ca="1" si="2"/>
        <v>42881</v>
      </c>
      <c r="F170" s="12"/>
    </row>
    <row r="171" spans="1:6" x14ac:dyDescent="0.25">
      <c r="A171" s="10">
        <v>2461</v>
      </c>
      <c r="B171" s="10" t="s">
        <v>700</v>
      </c>
      <c r="C171" s="13" t="s">
        <v>701</v>
      </c>
      <c r="D171" s="14">
        <v>0.5</v>
      </c>
      <c r="E171" s="19">
        <f t="shared" ca="1" si="2"/>
        <v>42881</v>
      </c>
      <c r="F171" s="12"/>
    </row>
    <row r="172" spans="1:6" x14ac:dyDescent="0.25">
      <c r="A172" s="10">
        <v>247</v>
      </c>
      <c r="B172" s="10" t="s">
        <v>125</v>
      </c>
      <c r="C172" s="13" t="s">
        <v>126</v>
      </c>
      <c r="D172" s="14">
        <v>0.5</v>
      </c>
      <c r="E172" s="19">
        <f t="shared" ca="1" si="2"/>
        <v>42881</v>
      </c>
      <c r="F172" s="12"/>
    </row>
    <row r="173" spans="1:6" x14ac:dyDescent="0.25">
      <c r="A173" s="10">
        <v>2473</v>
      </c>
      <c r="B173" s="10" t="s">
        <v>704</v>
      </c>
      <c r="C173" s="13" t="s">
        <v>705</v>
      </c>
      <c r="D173" s="14">
        <v>0.25</v>
      </c>
      <c r="E173" s="19">
        <f t="shared" ca="1" si="2"/>
        <v>42881</v>
      </c>
      <c r="F173" s="12"/>
    </row>
    <row r="174" spans="1:6" x14ac:dyDescent="0.25">
      <c r="A174" s="10">
        <v>248</v>
      </c>
      <c r="B174" s="10" t="s">
        <v>127</v>
      </c>
      <c r="C174" s="13" t="s">
        <v>128</v>
      </c>
      <c r="D174" s="14">
        <v>0.25</v>
      </c>
      <c r="E174" s="19">
        <f t="shared" ca="1" si="2"/>
        <v>42881</v>
      </c>
      <c r="F174" s="12"/>
    </row>
    <row r="175" spans="1:6" x14ac:dyDescent="0.25">
      <c r="A175" s="10">
        <v>2492</v>
      </c>
      <c r="B175" s="10" t="s">
        <v>707</v>
      </c>
      <c r="C175" s="13" t="s">
        <v>708</v>
      </c>
      <c r="D175" s="14">
        <v>0.25</v>
      </c>
      <c r="E175" s="19">
        <f t="shared" ca="1" si="2"/>
        <v>42881</v>
      </c>
      <c r="F175" s="12"/>
    </row>
    <row r="176" spans="1:6" x14ac:dyDescent="0.25">
      <c r="A176" s="10">
        <v>252</v>
      </c>
      <c r="B176" s="10" t="s">
        <v>129</v>
      </c>
      <c r="C176" s="13" t="s">
        <v>130</v>
      </c>
      <c r="D176" s="14">
        <v>0.25</v>
      </c>
      <c r="E176" s="19">
        <f t="shared" ca="1" si="2"/>
        <v>42881</v>
      </c>
      <c r="F176" s="12"/>
    </row>
    <row r="177" spans="1:6" x14ac:dyDescent="0.25">
      <c r="A177" s="10">
        <v>253</v>
      </c>
      <c r="B177" s="10" t="s">
        <v>131</v>
      </c>
      <c r="C177" s="13" t="s">
        <v>132</v>
      </c>
      <c r="D177" s="14">
        <v>0.5</v>
      </c>
      <c r="E177" s="19">
        <f t="shared" ca="1" si="2"/>
        <v>42881</v>
      </c>
      <c r="F177" s="12"/>
    </row>
    <row r="178" spans="1:6" x14ac:dyDescent="0.25">
      <c r="A178" s="10">
        <v>254</v>
      </c>
      <c r="B178" s="10" t="s">
        <v>133</v>
      </c>
      <c r="C178" s="13" t="s">
        <v>134</v>
      </c>
      <c r="D178" s="14">
        <v>1</v>
      </c>
      <c r="E178" s="19">
        <f t="shared" ca="1" si="2"/>
        <v>42881</v>
      </c>
      <c r="F178" s="12"/>
    </row>
    <row r="179" spans="1:6" x14ac:dyDescent="0.25">
      <c r="A179" s="10">
        <v>255</v>
      </c>
      <c r="B179" s="10" t="s">
        <v>135</v>
      </c>
      <c r="C179" s="13" t="s">
        <v>136</v>
      </c>
      <c r="D179" s="14">
        <v>2</v>
      </c>
      <c r="E179" s="19">
        <f t="shared" ca="1" si="2"/>
        <v>42881</v>
      </c>
      <c r="F179" s="12"/>
    </row>
    <row r="180" spans="1:6" x14ac:dyDescent="0.25">
      <c r="A180" s="10">
        <v>2586</v>
      </c>
      <c r="B180" s="10" t="s">
        <v>709</v>
      </c>
      <c r="C180" s="13" t="s">
        <v>710</v>
      </c>
      <c r="D180" s="14">
        <v>0.25</v>
      </c>
      <c r="E180" s="19">
        <f t="shared" ca="1" si="2"/>
        <v>42881</v>
      </c>
      <c r="F180" s="12"/>
    </row>
    <row r="181" spans="1:6" x14ac:dyDescent="0.25">
      <c r="A181" s="10">
        <v>260</v>
      </c>
      <c r="B181" s="10" t="s">
        <v>932</v>
      </c>
      <c r="C181" s="13" t="s">
        <v>873</v>
      </c>
      <c r="D181" s="14">
        <v>0.5</v>
      </c>
      <c r="E181" s="19">
        <f t="shared" ca="1" si="2"/>
        <v>42881</v>
      </c>
      <c r="F181" s="12"/>
    </row>
    <row r="182" spans="1:6" x14ac:dyDescent="0.25">
      <c r="A182" s="10">
        <v>261</v>
      </c>
      <c r="B182" s="10" t="s">
        <v>138</v>
      </c>
      <c r="C182" s="13" t="s">
        <v>139</v>
      </c>
      <c r="D182" s="14">
        <v>0.75</v>
      </c>
      <c r="E182" s="19">
        <f t="shared" ca="1" si="2"/>
        <v>42881</v>
      </c>
      <c r="F182" s="12"/>
    </row>
    <row r="183" spans="1:6" x14ac:dyDescent="0.25">
      <c r="A183" s="10">
        <v>2611</v>
      </c>
      <c r="B183" s="10" t="s">
        <v>711</v>
      </c>
      <c r="C183" s="13" t="s">
        <v>712</v>
      </c>
      <c r="D183" s="14">
        <v>0.25</v>
      </c>
      <c r="E183" s="19">
        <f t="shared" ca="1" si="2"/>
        <v>42881</v>
      </c>
      <c r="F183" s="12"/>
    </row>
    <row r="184" spans="1:6" x14ac:dyDescent="0.25">
      <c r="A184" s="10">
        <v>2613</v>
      </c>
      <c r="B184" s="10" t="s">
        <v>713</v>
      </c>
      <c r="C184" s="13" t="s">
        <v>714</v>
      </c>
      <c r="D184" s="14">
        <v>0.25</v>
      </c>
      <c r="E184" s="19">
        <f t="shared" ca="1" si="2"/>
        <v>42881</v>
      </c>
      <c r="F184" s="12"/>
    </row>
    <row r="185" spans="1:6" x14ac:dyDescent="0.25">
      <c r="A185" s="10">
        <v>2618</v>
      </c>
      <c r="B185" s="10" t="s">
        <v>715</v>
      </c>
      <c r="C185" s="13" t="s">
        <v>716</v>
      </c>
      <c r="D185" s="14">
        <v>0.25</v>
      </c>
      <c r="E185" s="19">
        <f t="shared" ca="1" si="2"/>
        <v>42881</v>
      </c>
      <c r="F185" s="12"/>
    </row>
    <row r="186" spans="1:6" x14ac:dyDescent="0.25">
      <c r="A186" s="10">
        <v>2633</v>
      </c>
      <c r="B186" s="10" t="s">
        <v>968</v>
      </c>
      <c r="C186" s="13" t="s">
        <v>909</v>
      </c>
      <c r="D186" s="14">
        <v>0.5</v>
      </c>
      <c r="E186" s="19">
        <f t="shared" ca="1" si="2"/>
        <v>42881</v>
      </c>
      <c r="F186" s="12"/>
    </row>
    <row r="187" spans="1:6" x14ac:dyDescent="0.25">
      <c r="A187" s="10">
        <v>2636</v>
      </c>
      <c r="B187" s="10" t="s">
        <v>717</v>
      </c>
      <c r="C187" s="13" t="s">
        <v>718</v>
      </c>
      <c r="D187" s="14">
        <v>0.25</v>
      </c>
      <c r="E187" s="19">
        <f t="shared" ca="1" si="2"/>
        <v>42881</v>
      </c>
      <c r="F187" s="12"/>
    </row>
    <row r="188" spans="1:6" x14ac:dyDescent="0.25">
      <c r="A188" s="10">
        <v>2663</v>
      </c>
      <c r="B188" s="10" t="s">
        <v>719</v>
      </c>
      <c r="C188" s="13" t="s">
        <v>720</v>
      </c>
      <c r="D188" s="14">
        <v>0.5</v>
      </c>
      <c r="E188" s="19">
        <f t="shared" ca="1" si="2"/>
        <v>42881</v>
      </c>
      <c r="F188" s="12"/>
    </row>
    <row r="189" spans="1:6" x14ac:dyDescent="0.25">
      <c r="A189" s="10">
        <v>2673</v>
      </c>
      <c r="B189" s="10" t="s">
        <v>721</v>
      </c>
      <c r="C189" s="13" t="s">
        <v>722</v>
      </c>
      <c r="D189" s="14">
        <v>0.25</v>
      </c>
      <c r="E189" s="19">
        <f t="shared" ca="1" si="2"/>
        <v>42881</v>
      </c>
      <c r="F189" s="12"/>
    </row>
    <row r="190" spans="1:6" x14ac:dyDescent="0.25">
      <c r="A190" s="10">
        <v>2681</v>
      </c>
      <c r="B190" s="10" t="s">
        <v>723</v>
      </c>
      <c r="C190" s="13" t="s">
        <v>724</v>
      </c>
      <c r="D190" s="14">
        <v>0.25</v>
      </c>
      <c r="E190" s="19">
        <f t="shared" ca="1" si="2"/>
        <v>42881</v>
      </c>
      <c r="F190" s="12"/>
    </row>
    <row r="191" spans="1:6" x14ac:dyDescent="0.25">
      <c r="A191" s="10">
        <v>2683</v>
      </c>
      <c r="B191" s="10" t="s">
        <v>725</v>
      </c>
      <c r="C191" s="13" t="s">
        <v>726</v>
      </c>
      <c r="D191" s="14">
        <v>0.25</v>
      </c>
      <c r="E191" s="19">
        <f t="shared" ca="1" si="2"/>
        <v>42881</v>
      </c>
      <c r="F191" s="12"/>
    </row>
    <row r="192" spans="1:6" x14ac:dyDescent="0.25">
      <c r="A192" s="10">
        <v>270</v>
      </c>
      <c r="B192" s="10" t="s">
        <v>143</v>
      </c>
      <c r="C192" s="13" t="s">
        <v>144</v>
      </c>
      <c r="D192" s="14">
        <v>1</v>
      </c>
      <c r="E192" s="19">
        <f t="shared" ca="1" si="2"/>
        <v>42881</v>
      </c>
      <c r="F192" s="12"/>
    </row>
    <row r="193" spans="1:6" x14ac:dyDescent="0.25">
      <c r="A193" s="10">
        <v>2716</v>
      </c>
      <c r="B193" s="10" t="s">
        <v>728</v>
      </c>
      <c r="C193" s="13" t="s">
        <v>729</v>
      </c>
      <c r="D193" s="14">
        <v>0.25</v>
      </c>
      <c r="E193" s="19">
        <f t="shared" ca="1" si="2"/>
        <v>42881</v>
      </c>
      <c r="F193" s="12"/>
    </row>
    <row r="194" spans="1:6" x14ac:dyDescent="0.25">
      <c r="A194" s="10">
        <v>2722</v>
      </c>
      <c r="B194" s="10" t="s">
        <v>730</v>
      </c>
      <c r="C194" s="13" t="s">
        <v>731</v>
      </c>
      <c r="D194" s="14">
        <v>0.75</v>
      </c>
      <c r="E194" s="19">
        <f t="shared" ca="1" si="2"/>
        <v>42881</v>
      </c>
      <c r="F194" s="12"/>
    </row>
    <row r="195" spans="1:6" x14ac:dyDescent="0.25">
      <c r="A195" s="10">
        <v>2730</v>
      </c>
      <c r="B195" s="10" t="s">
        <v>733</v>
      </c>
      <c r="C195" s="13" t="s">
        <v>734</v>
      </c>
      <c r="D195" s="14">
        <v>0.25</v>
      </c>
      <c r="E195" s="19">
        <f t="shared" ref="E195:E258" ca="1" si="3">TODAY()</f>
        <v>42881</v>
      </c>
      <c r="F195" s="12"/>
    </row>
    <row r="196" spans="1:6" x14ac:dyDescent="0.25">
      <c r="A196" s="10">
        <v>2738</v>
      </c>
      <c r="B196" s="10" t="s">
        <v>735</v>
      </c>
      <c r="C196" s="13" t="s">
        <v>736</v>
      </c>
      <c r="D196" s="14">
        <v>0.25</v>
      </c>
      <c r="E196" s="19">
        <f t="shared" ca="1" si="3"/>
        <v>42881</v>
      </c>
      <c r="F196" s="12"/>
    </row>
    <row r="197" spans="1:6" x14ac:dyDescent="0.25">
      <c r="A197" s="10">
        <v>2742</v>
      </c>
      <c r="B197" s="10" t="s">
        <v>737</v>
      </c>
      <c r="C197" s="13" t="s">
        <v>738</v>
      </c>
      <c r="D197" s="14">
        <v>0.5</v>
      </c>
      <c r="E197" s="19">
        <f t="shared" ca="1" si="3"/>
        <v>42881</v>
      </c>
      <c r="F197" s="12"/>
    </row>
    <row r="198" spans="1:6" x14ac:dyDescent="0.25">
      <c r="A198" s="10">
        <v>2743</v>
      </c>
      <c r="B198" s="10" t="s">
        <v>739</v>
      </c>
      <c r="C198" s="13" t="s">
        <v>740</v>
      </c>
      <c r="D198" s="14">
        <v>0.5</v>
      </c>
      <c r="E198" s="19">
        <f t="shared" ca="1" si="3"/>
        <v>42881</v>
      </c>
      <c r="F198" s="12"/>
    </row>
    <row r="199" spans="1:6" x14ac:dyDescent="0.25">
      <c r="A199" s="10">
        <v>2747</v>
      </c>
      <c r="B199" s="10" t="s">
        <v>741</v>
      </c>
      <c r="C199" s="13" t="s">
        <v>742</v>
      </c>
      <c r="D199" s="14">
        <v>1</v>
      </c>
      <c r="E199" s="19">
        <f t="shared" ca="1" si="3"/>
        <v>42881</v>
      </c>
      <c r="F199" s="12"/>
    </row>
    <row r="200" spans="1:6" x14ac:dyDescent="0.25">
      <c r="A200" s="10">
        <v>275</v>
      </c>
      <c r="B200" s="10" t="s">
        <v>145</v>
      </c>
      <c r="C200" s="13" t="s">
        <v>146</v>
      </c>
      <c r="D200" s="14">
        <v>0.5</v>
      </c>
      <c r="E200" s="19">
        <f t="shared" ca="1" si="3"/>
        <v>42881</v>
      </c>
      <c r="F200" s="12"/>
    </row>
    <row r="201" spans="1:6" x14ac:dyDescent="0.25">
      <c r="A201" s="10">
        <v>277</v>
      </c>
      <c r="B201" s="10" t="s">
        <v>147</v>
      </c>
      <c r="C201" s="13" t="s">
        <v>148</v>
      </c>
      <c r="D201" s="14">
        <v>1</v>
      </c>
      <c r="E201" s="19">
        <f t="shared" ca="1" si="3"/>
        <v>42881</v>
      </c>
      <c r="F201" s="12"/>
    </row>
    <row r="202" spans="1:6" x14ac:dyDescent="0.25">
      <c r="A202" s="10">
        <v>2775</v>
      </c>
      <c r="B202" s="10" t="s">
        <v>746</v>
      </c>
      <c r="C202" s="13" t="s">
        <v>747</v>
      </c>
      <c r="D202" s="14">
        <v>0.5</v>
      </c>
      <c r="E202" s="19">
        <f t="shared" ca="1" si="3"/>
        <v>42881</v>
      </c>
      <c r="F202" s="12"/>
    </row>
    <row r="203" spans="1:6" x14ac:dyDescent="0.25">
      <c r="A203" s="10">
        <v>2783</v>
      </c>
      <c r="B203" s="10" t="s">
        <v>748</v>
      </c>
      <c r="C203" s="13" t="s">
        <v>749</v>
      </c>
      <c r="D203" s="14">
        <v>0.5</v>
      </c>
      <c r="E203" s="19">
        <f t="shared" ca="1" si="3"/>
        <v>42881</v>
      </c>
      <c r="F203" s="12"/>
    </row>
    <row r="204" spans="1:6" x14ac:dyDescent="0.25">
      <c r="A204" s="10">
        <v>2787</v>
      </c>
      <c r="B204" s="10" t="s">
        <v>750</v>
      </c>
      <c r="C204" s="13" t="s">
        <v>751</v>
      </c>
      <c r="D204" s="14">
        <v>0.25</v>
      </c>
      <c r="E204" s="19">
        <f t="shared" ca="1" si="3"/>
        <v>42881</v>
      </c>
      <c r="F204" s="12"/>
    </row>
    <row r="205" spans="1:6" x14ac:dyDescent="0.25">
      <c r="A205" s="10">
        <v>2797</v>
      </c>
      <c r="B205" s="10" t="s">
        <v>752</v>
      </c>
      <c r="C205" s="13" t="s">
        <v>753</v>
      </c>
      <c r="D205" s="14">
        <v>1</v>
      </c>
      <c r="E205" s="19">
        <f t="shared" ca="1" si="3"/>
        <v>42881</v>
      </c>
      <c r="F205" s="12"/>
    </row>
    <row r="206" spans="1:6" x14ac:dyDescent="0.25">
      <c r="A206" s="10">
        <v>280</v>
      </c>
      <c r="B206" s="10" t="s">
        <v>933</v>
      </c>
      <c r="C206" s="13" t="s">
        <v>874</v>
      </c>
      <c r="D206" s="14">
        <v>0.25</v>
      </c>
      <c r="E206" s="19">
        <f t="shared" ca="1" si="3"/>
        <v>42881</v>
      </c>
      <c r="F206" s="12"/>
    </row>
    <row r="207" spans="1:6" x14ac:dyDescent="0.25">
      <c r="A207" s="10">
        <v>2813</v>
      </c>
      <c r="B207" s="10" t="s">
        <v>754</v>
      </c>
      <c r="C207" s="13" t="s">
        <v>755</v>
      </c>
      <c r="D207" s="14">
        <v>0.25</v>
      </c>
      <c r="E207" s="19">
        <f t="shared" ca="1" si="3"/>
        <v>42881</v>
      </c>
      <c r="F207" s="12"/>
    </row>
    <row r="208" spans="1:6" x14ac:dyDescent="0.25">
      <c r="A208" s="10">
        <v>2819</v>
      </c>
      <c r="B208" s="10" t="s">
        <v>969</v>
      </c>
      <c r="C208" s="13" t="s">
        <v>910</v>
      </c>
      <c r="D208" s="14">
        <v>0.25</v>
      </c>
      <c r="E208" s="19">
        <f t="shared" ca="1" si="3"/>
        <v>42881</v>
      </c>
      <c r="F208" s="12"/>
    </row>
    <row r="209" spans="1:6" x14ac:dyDescent="0.25">
      <c r="A209" s="10">
        <v>283</v>
      </c>
      <c r="B209" s="10" t="s">
        <v>934</v>
      </c>
      <c r="C209" s="13" t="s">
        <v>875</v>
      </c>
      <c r="D209" s="14">
        <v>0.5</v>
      </c>
      <c r="E209" s="19">
        <f t="shared" ca="1" si="3"/>
        <v>42881</v>
      </c>
      <c r="F209" s="12"/>
    </row>
    <row r="210" spans="1:6" x14ac:dyDescent="0.25">
      <c r="A210" s="10">
        <v>2854</v>
      </c>
      <c r="B210" s="10" t="s">
        <v>760</v>
      </c>
      <c r="C210" s="13" t="s">
        <v>761</v>
      </c>
      <c r="D210" s="14">
        <v>0.6</v>
      </c>
      <c r="E210" s="19">
        <f t="shared" ca="1" si="3"/>
        <v>42881</v>
      </c>
      <c r="F210" s="12"/>
    </row>
    <row r="211" spans="1:6" x14ac:dyDescent="0.25">
      <c r="A211" s="10">
        <v>287</v>
      </c>
      <c r="B211" s="10" t="s">
        <v>150</v>
      </c>
      <c r="C211" s="13" t="s">
        <v>151</v>
      </c>
      <c r="D211" s="14">
        <v>0.25</v>
      </c>
      <c r="E211" s="19">
        <f t="shared" ca="1" si="3"/>
        <v>42881</v>
      </c>
      <c r="F211" s="12"/>
    </row>
    <row r="212" spans="1:6" x14ac:dyDescent="0.25">
      <c r="A212" s="10">
        <v>2874</v>
      </c>
      <c r="B212" s="10" t="s">
        <v>762</v>
      </c>
      <c r="C212" s="13" t="s">
        <v>763</v>
      </c>
      <c r="D212" s="14">
        <v>1.5</v>
      </c>
      <c r="E212" s="19">
        <f t="shared" ca="1" si="3"/>
        <v>42881</v>
      </c>
      <c r="F212" s="12"/>
    </row>
    <row r="213" spans="1:6" x14ac:dyDescent="0.25">
      <c r="A213" s="10">
        <v>2882</v>
      </c>
      <c r="B213" s="10" t="s">
        <v>766</v>
      </c>
      <c r="C213" s="13" t="s">
        <v>767</v>
      </c>
      <c r="D213" s="14">
        <v>0.5</v>
      </c>
      <c r="E213" s="19">
        <f t="shared" ca="1" si="3"/>
        <v>42881</v>
      </c>
      <c r="F213" s="12"/>
    </row>
    <row r="214" spans="1:6" x14ac:dyDescent="0.25">
      <c r="A214" s="10">
        <v>2888</v>
      </c>
      <c r="B214" s="10" t="s">
        <v>768</v>
      </c>
      <c r="C214" s="13" t="s">
        <v>769</v>
      </c>
      <c r="D214" s="14">
        <v>0.25</v>
      </c>
      <c r="E214" s="19">
        <f t="shared" ca="1" si="3"/>
        <v>42881</v>
      </c>
      <c r="F214" s="12"/>
    </row>
    <row r="215" spans="1:6" x14ac:dyDescent="0.25">
      <c r="A215" s="10">
        <v>2891</v>
      </c>
      <c r="B215" s="10" t="s">
        <v>771</v>
      </c>
      <c r="C215" s="13" t="s">
        <v>772</v>
      </c>
      <c r="D215" s="14">
        <v>0.25</v>
      </c>
      <c r="E215" s="19">
        <f t="shared" ca="1" si="3"/>
        <v>42881</v>
      </c>
      <c r="F215" s="12"/>
    </row>
    <row r="216" spans="1:6" x14ac:dyDescent="0.25">
      <c r="A216" s="10">
        <v>2892</v>
      </c>
      <c r="B216" s="10" t="s">
        <v>970</v>
      </c>
      <c r="C216" s="13" t="s">
        <v>911</v>
      </c>
      <c r="D216" s="14">
        <v>1</v>
      </c>
      <c r="E216" s="19">
        <f t="shared" ca="1" si="3"/>
        <v>42881</v>
      </c>
      <c r="F216" s="12"/>
    </row>
    <row r="217" spans="1:6" x14ac:dyDescent="0.25">
      <c r="A217" s="10">
        <v>29</v>
      </c>
      <c r="B217" s="10" t="s">
        <v>27</v>
      </c>
      <c r="C217" s="13" t="s">
        <v>28</v>
      </c>
      <c r="D217" s="14">
        <v>0.25</v>
      </c>
      <c r="E217" s="19">
        <f t="shared" ca="1" si="3"/>
        <v>42881</v>
      </c>
      <c r="F217" s="12"/>
    </row>
    <row r="218" spans="1:6" x14ac:dyDescent="0.25">
      <c r="A218" s="10">
        <v>2900</v>
      </c>
      <c r="B218" s="10" t="s">
        <v>773</v>
      </c>
      <c r="C218" s="13" t="s">
        <v>774</v>
      </c>
      <c r="D218" s="14">
        <v>0.25</v>
      </c>
      <c r="E218" s="19">
        <f t="shared" ca="1" si="3"/>
        <v>42881</v>
      </c>
      <c r="F218" s="12"/>
    </row>
    <row r="219" spans="1:6" x14ac:dyDescent="0.25">
      <c r="A219" s="10">
        <v>2909</v>
      </c>
      <c r="B219" s="10" t="s">
        <v>971</v>
      </c>
      <c r="C219" s="13" t="s">
        <v>912</v>
      </c>
      <c r="D219" s="14">
        <v>0.25</v>
      </c>
      <c r="E219" s="19">
        <f t="shared" ca="1" si="3"/>
        <v>42881</v>
      </c>
      <c r="F219" s="12"/>
    </row>
    <row r="220" spans="1:6" x14ac:dyDescent="0.25">
      <c r="A220" s="10">
        <v>2916</v>
      </c>
      <c r="B220" s="10" t="s">
        <v>775</v>
      </c>
      <c r="C220" s="13" t="s">
        <v>776</v>
      </c>
      <c r="D220" s="14">
        <v>0.5</v>
      </c>
      <c r="E220" s="19">
        <f t="shared" ca="1" si="3"/>
        <v>42881</v>
      </c>
      <c r="F220" s="12"/>
    </row>
    <row r="221" spans="1:6" x14ac:dyDescent="0.25">
      <c r="A221" s="10">
        <v>2919</v>
      </c>
      <c r="B221" s="10" t="s">
        <v>777</v>
      </c>
      <c r="C221" s="13" t="s">
        <v>778</v>
      </c>
      <c r="D221" s="14">
        <v>0.25</v>
      </c>
      <c r="E221" s="19">
        <f t="shared" ca="1" si="3"/>
        <v>42881</v>
      </c>
      <c r="F221" s="12"/>
    </row>
    <row r="222" spans="1:6" x14ac:dyDescent="0.25">
      <c r="A222" s="10">
        <v>292</v>
      </c>
      <c r="B222" s="10" t="s">
        <v>153</v>
      </c>
      <c r="C222" s="13" t="s">
        <v>154</v>
      </c>
      <c r="D222" s="14">
        <v>0.5</v>
      </c>
      <c r="E222" s="19">
        <f t="shared" ca="1" si="3"/>
        <v>42881</v>
      </c>
      <c r="F222" s="12"/>
    </row>
    <row r="223" spans="1:6" x14ac:dyDescent="0.25">
      <c r="A223" s="10">
        <v>2930</v>
      </c>
      <c r="B223" s="10" t="s">
        <v>779</v>
      </c>
      <c r="C223" s="13" t="s">
        <v>780</v>
      </c>
      <c r="D223" s="14">
        <v>0.25</v>
      </c>
      <c r="E223" s="19">
        <f t="shared" ca="1" si="3"/>
        <v>42881</v>
      </c>
      <c r="F223" s="12"/>
    </row>
    <row r="224" spans="1:6" x14ac:dyDescent="0.25">
      <c r="A224" s="10">
        <v>2936</v>
      </c>
      <c r="B224" s="10" t="s">
        <v>781</v>
      </c>
      <c r="C224" s="13" t="s">
        <v>782</v>
      </c>
      <c r="D224" s="14">
        <v>1</v>
      </c>
      <c r="E224" s="19">
        <f t="shared" ca="1" si="3"/>
        <v>42881</v>
      </c>
      <c r="F224" s="12"/>
    </row>
    <row r="225" spans="1:6" x14ac:dyDescent="0.25">
      <c r="A225" s="10">
        <v>2937</v>
      </c>
      <c r="B225" s="10" t="s">
        <v>783</v>
      </c>
      <c r="C225" s="13" t="s">
        <v>784</v>
      </c>
      <c r="D225" s="14">
        <v>1</v>
      </c>
      <c r="E225" s="19">
        <f t="shared" ca="1" si="3"/>
        <v>42881</v>
      </c>
      <c r="F225" s="12"/>
    </row>
    <row r="226" spans="1:6" x14ac:dyDescent="0.25">
      <c r="A226" s="10">
        <v>2938</v>
      </c>
      <c r="B226" s="10" t="s">
        <v>785</v>
      </c>
      <c r="C226" s="13" t="s">
        <v>786</v>
      </c>
      <c r="D226" s="14">
        <v>0.25</v>
      </c>
      <c r="E226" s="19">
        <f t="shared" ca="1" si="3"/>
        <v>42881</v>
      </c>
      <c r="F226" s="12"/>
    </row>
    <row r="227" spans="1:6" x14ac:dyDescent="0.25">
      <c r="A227" s="10">
        <v>2939</v>
      </c>
      <c r="B227" s="10" t="s">
        <v>787</v>
      </c>
      <c r="C227" s="13" t="s">
        <v>788</v>
      </c>
      <c r="D227" s="14">
        <v>0.75</v>
      </c>
      <c r="E227" s="19">
        <f t="shared" ca="1" si="3"/>
        <v>42881</v>
      </c>
      <c r="F227" s="12"/>
    </row>
    <row r="228" spans="1:6" x14ac:dyDescent="0.25">
      <c r="A228" s="10">
        <v>2944</v>
      </c>
      <c r="B228" s="10" t="s">
        <v>789</v>
      </c>
      <c r="C228" s="13" t="s">
        <v>790</v>
      </c>
      <c r="D228" s="14">
        <v>0.5</v>
      </c>
      <c r="E228" s="19">
        <f t="shared" ca="1" si="3"/>
        <v>42881</v>
      </c>
      <c r="F228" s="12"/>
    </row>
    <row r="229" spans="1:6" x14ac:dyDescent="0.25">
      <c r="A229" s="10">
        <v>2948</v>
      </c>
      <c r="B229" s="10" t="s">
        <v>791</v>
      </c>
      <c r="C229" s="13" t="s">
        <v>792</v>
      </c>
      <c r="D229" s="14">
        <v>0.2</v>
      </c>
      <c r="E229" s="19">
        <f t="shared" ca="1" si="3"/>
        <v>42881</v>
      </c>
      <c r="F229" s="12"/>
    </row>
    <row r="230" spans="1:6" x14ac:dyDescent="0.25">
      <c r="A230" s="10">
        <v>2949</v>
      </c>
      <c r="B230" s="10" t="s">
        <v>793</v>
      </c>
      <c r="C230" s="13" t="s">
        <v>794</v>
      </c>
      <c r="D230" s="14">
        <v>0.75</v>
      </c>
      <c r="E230" s="19">
        <f t="shared" ca="1" si="3"/>
        <v>42881</v>
      </c>
      <c r="F230" s="12"/>
    </row>
    <row r="231" spans="1:6" x14ac:dyDescent="0.25">
      <c r="A231" s="10">
        <v>2972</v>
      </c>
      <c r="B231" s="10" t="s">
        <v>795</v>
      </c>
      <c r="C231" s="13" t="s">
        <v>796</v>
      </c>
      <c r="D231" s="14">
        <v>0.25</v>
      </c>
      <c r="E231" s="19">
        <f t="shared" ca="1" si="3"/>
        <v>42881</v>
      </c>
      <c r="F231" s="12"/>
    </row>
    <row r="232" spans="1:6" x14ac:dyDescent="0.25">
      <c r="A232" s="10">
        <v>2974</v>
      </c>
      <c r="B232" s="10" t="s">
        <v>797</v>
      </c>
      <c r="C232" s="13" t="s">
        <v>798</v>
      </c>
      <c r="D232" s="14">
        <v>0.25</v>
      </c>
      <c r="E232" s="19">
        <f t="shared" ca="1" si="3"/>
        <v>42881</v>
      </c>
      <c r="F232" s="12"/>
    </row>
    <row r="233" spans="1:6" x14ac:dyDescent="0.25">
      <c r="A233" s="10">
        <v>298</v>
      </c>
      <c r="B233" s="10" t="s">
        <v>935</v>
      </c>
      <c r="C233" s="13" t="s">
        <v>876</v>
      </c>
      <c r="D233" s="14">
        <v>1</v>
      </c>
      <c r="E233" s="19">
        <f t="shared" ca="1" si="3"/>
        <v>42881</v>
      </c>
      <c r="F233" s="12"/>
    </row>
    <row r="234" spans="1:6" x14ac:dyDescent="0.25">
      <c r="A234" s="10">
        <v>2983</v>
      </c>
      <c r="B234" s="10" t="s">
        <v>800</v>
      </c>
      <c r="C234" s="13" t="s">
        <v>801</v>
      </c>
      <c r="D234" s="14">
        <v>0.25</v>
      </c>
      <c r="E234" s="19">
        <f t="shared" ca="1" si="3"/>
        <v>42881</v>
      </c>
      <c r="F234" s="12"/>
    </row>
    <row r="235" spans="1:6" x14ac:dyDescent="0.25">
      <c r="A235" s="10">
        <v>2989</v>
      </c>
      <c r="B235" s="10" t="s">
        <v>802</v>
      </c>
      <c r="C235" s="13" t="s">
        <v>803</v>
      </c>
      <c r="D235" s="14">
        <v>0.25</v>
      </c>
      <c r="E235" s="19">
        <f t="shared" ca="1" si="3"/>
        <v>42881</v>
      </c>
      <c r="F235" s="12"/>
    </row>
    <row r="236" spans="1:6" x14ac:dyDescent="0.25">
      <c r="A236" s="10">
        <v>2992</v>
      </c>
      <c r="B236" s="10" t="s">
        <v>804</v>
      </c>
      <c r="C236" s="13" t="s">
        <v>805</v>
      </c>
      <c r="D236" s="14">
        <v>0.25</v>
      </c>
      <c r="E236" s="19">
        <f t="shared" ca="1" si="3"/>
        <v>42881</v>
      </c>
      <c r="F236" s="12"/>
    </row>
    <row r="237" spans="1:6" x14ac:dyDescent="0.25">
      <c r="A237" s="10">
        <v>301</v>
      </c>
      <c r="B237" s="10" t="s">
        <v>936</v>
      </c>
      <c r="C237" s="13" t="s">
        <v>877</v>
      </c>
      <c r="D237" s="14">
        <v>0.25</v>
      </c>
      <c r="E237" s="19">
        <f t="shared" ca="1" si="3"/>
        <v>42881</v>
      </c>
      <c r="F237" s="12"/>
    </row>
    <row r="238" spans="1:6" x14ac:dyDescent="0.25">
      <c r="A238" s="10">
        <v>3017</v>
      </c>
      <c r="B238" s="10" t="s">
        <v>972</v>
      </c>
      <c r="C238" s="13" t="s">
        <v>913</v>
      </c>
      <c r="D238" s="14">
        <v>1</v>
      </c>
      <c r="E238" s="19">
        <f t="shared" ca="1" si="3"/>
        <v>42881</v>
      </c>
      <c r="F238" s="12"/>
    </row>
    <row r="239" spans="1:6" x14ac:dyDescent="0.25">
      <c r="A239" s="10">
        <v>303</v>
      </c>
      <c r="B239" s="10" t="s">
        <v>156</v>
      </c>
      <c r="C239" s="13" t="s">
        <v>157</v>
      </c>
      <c r="D239" s="14">
        <v>0.25</v>
      </c>
      <c r="E239" s="19">
        <f t="shared" ca="1" si="3"/>
        <v>42881</v>
      </c>
      <c r="F239" s="12"/>
    </row>
    <row r="240" spans="1:6" x14ac:dyDescent="0.25">
      <c r="A240" s="10">
        <v>304</v>
      </c>
      <c r="B240" s="10" t="s">
        <v>158</v>
      </c>
      <c r="C240" s="13" t="s">
        <v>159</v>
      </c>
      <c r="D240" s="14">
        <v>0.75</v>
      </c>
      <c r="E240" s="19">
        <f t="shared" ca="1" si="3"/>
        <v>42881</v>
      </c>
      <c r="F240" s="12"/>
    </row>
    <row r="241" spans="1:6" x14ac:dyDescent="0.25">
      <c r="A241" s="10">
        <v>3041</v>
      </c>
      <c r="B241" s="10" t="s">
        <v>806</v>
      </c>
      <c r="C241" s="13" t="s">
        <v>807</v>
      </c>
      <c r="D241" s="14">
        <v>0.25</v>
      </c>
      <c r="E241" s="19">
        <f t="shared" ca="1" si="3"/>
        <v>42881</v>
      </c>
      <c r="F241" s="12"/>
    </row>
    <row r="242" spans="1:6" x14ac:dyDescent="0.25">
      <c r="A242" s="10">
        <v>3062</v>
      </c>
      <c r="B242" s="10" t="s">
        <v>809</v>
      </c>
      <c r="C242" s="13" t="s">
        <v>810</v>
      </c>
      <c r="D242" s="14">
        <v>0.5</v>
      </c>
      <c r="E242" s="19">
        <f t="shared" ca="1" si="3"/>
        <v>42881</v>
      </c>
      <c r="F242" s="12"/>
    </row>
    <row r="243" spans="1:6" x14ac:dyDescent="0.25">
      <c r="A243" s="10">
        <v>3063</v>
      </c>
      <c r="B243" s="10" t="s">
        <v>811</v>
      </c>
      <c r="C243" s="13" t="s">
        <v>812</v>
      </c>
      <c r="D243" s="14">
        <v>0.5</v>
      </c>
      <c r="E243" s="19">
        <f t="shared" ca="1" si="3"/>
        <v>42881</v>
      </c>
      <c r="F243" s="12"/>
    </row>
    <row r="244" spans="1:6" x14ac:dyDescent="0.25">
      <c r="A244" s="10">
        <v>307</v>
      </c>
      <c r="B244" s="10" t="s">
        <v>161</v>
      </c>
      <c r="C244" s="13" t="s">
        <v>162</v>
      </c>
      <c r="D244" s="14">
        <v>0.25</v>
      </c>
      <c r="E244" s="19">
        <f t="shared" ca="1" si="3"/>
        <v>42881</v>
      </c>
      <c r="F244" s="12"/>
    </row>
    <row r="245" spans="1:6" x14ac:dyDescent="0.25">
      <c r="A245" s="10">
        <v>3072</v>
      </c>
      <c r="B245" s="10" t="s">
        <v>973</v>
      </c>
      <c r="C245" s="13" t="s">
        <v>914</v>
      </c>
      <c r="D245" s="14">
        <v>0.25</v>
      </c>
      <c r="E245" s="19">
        <f t="shared" ca="1" si="3"/>
        <v>42881</v>
      </c>
      <c r="F245" s="12"/>
    </row>
    <row r="246" spans="1:6" x14ac:dyDescent="0.25">
      <c r="A246" s="10">
        <v>3082</v>
      </c>
      <c r="B246" s="10" t="s">
        <v>813</v>
      </c>
      <c r="C246" s="13" t="s">
        <v>814</v>
      </c>
      <c r="D246" s="14">
        <v>0.5</v>
      </c>
      <c r="E246" s="19">
        <f t="shared" ca="1" si="3"/>
        <v>42881</v>
      </c>
      <c r="F246" s="12"/>
    </row>
    <row r="247" spans="1:6" x14ac:dyDescent="0.25">
      <c r="A247" s="10">
        <v>3086</v>
      </c>
      <c r="B247" s="10" t="s">
        <v>815</v>
      </c>
      <c r="C247" s="13" t="s">
        <v>816</v>
      </c>
      <c r="D247" s="14">
        <v>0.25</v>
      </c>
      <c r="E247" s="19">
        <f t="shared" ca="1" si="3"/>
        <v>42881</v>
      </c>
      <c r="F247" s="12"/>
    </row>
    <row r="248" spans="1:6" x14ac:dyDescent="0.25">
      <c r="A248" s="10">
        <v>3087</v>
      </c>
      <c r="B248" s="10" t="s">
        <v>817</v>
      </c>
      <c r="C248" s="13" t="s">
        <v>818</v>
      </c>
      <c r="D248" s="14">
        <v>0.25</v>
      </c>
      <c r="E248" s="19">
        <f t="shared" ca="1" si="3"/>
        <v>42881</v>
      </c>
      <c r="F248" s="12"/>
    </row>
    <row r="249" spans="1:6" x14ac:dyDescent="0.25">
      <c r="A249" s="10">
        <v>309</v>
      </c>
      <c r="B249" s="10" t="s">
        <v>164</v>
      </c>
      <c r="C249" s="13" t="s">
        <v>165</v>
      </c>
      <c r="D249" s="14">
        <v>0.5</v>
      </c>
      <c r="E249" s="19">
        <f t="shared" ca="1" si="3"/>
        <v>42881</v>
      </c>
      <c r="F249" s="12"/>
    </row>
    <row r="250" spans="1:6" x14ac:dyDescent="0.25">
      <c r="A250" s="10">
        <v>3092</v>
      </c>
      <c r="B250" s="10" t="s">
        <v>819</v>
      </c>
      <c r="C250" s="13" t="s">
        <v>820</v>
      </c>
      <c r="D250" s="14">
        <v>0.25</v>
      </c>
      <c r="E250" s="19">
        <f t="shared" ca="1" si="3"/>
        <v>42881</v>
      </c>
      <c r="F250" s="12"/>
    </row>
    <row r="251" spans="1:6" x14ac:dyDescent="0.25">
      <c r="A251" s="10">
        <v>31</v>
      </c>
      <c r="B251" s="10" t="s">
        <v>29</v>
      </c>
      <c r="C251" s="13" t="s">
        <v>30</v>
      </c>
      <c r="D251" s="14">
        <v>0.25</v>
      </c>
      <c r="E251" s="19">
        <f t="shared" ca="1" si="3"/>
        <v>42881</v>
      </c>
      <c r="F251" s="12"/>
    </row>
    <row r="252" spans="1:6" x14ac:dyDescent="0.25">
      <c r="A252" s="10">
        <v>310</v>
      </c>
      <c r="B252" s="10" t="s">
        <v>166</v>
      </c>
      <c r="C252" s="13" t="s">
        <v>167</v>
      </c>
      <c r="D252" s="14">
        <v>0.5</v>
      </c>
      <c r="E252" s="19">
        <f t="shared" ca="1" si="3"/>
        <v>42881</v>
      </c>
      <c r="F252" s="12"/>
    </row>
    <row r="253" spans="1:6" x14ac:dyDescent="0.25">
      <c r="A253" s="10">
        <v>311</v>
      </c>
      <c r="B253" s="10" t="s">
        <v>168</v>
      </c>
      <c r="C253" s="13" t="s">
        <v>169</v>
      </c>
      <c r="D253" s="14">
        <v>0.5</v>
      </c>
      <c r="E253" s="19">
        <f t="shared" ca="1" si="3"/>
        <v>42881</v>
      </c>
      <c r="F253" s="12"/>
    </row>
    <row r="254" spans="1:6" x14ac:dyDescent="0.25">
      <c r="A254" s="10">
        <v>312</v>
      </c>
      <c r="B254" s="10" t="s">
        <v>170</v>
      </c>
      <c r="C254" s="13" t="s">
        <v>171</v>
      </c>
      <c r="D254" s="14">
        <v>0.75</v>
      </c>
      <c r="E254" s="19">
        <f t="shared" ca="1" si="3"/>
        <v>42881</v>
      </c>
      <c r="F254" s="12"/>
    </row>
    <row r="255" spans="1:6" x14ac:dyDescent="0.25">
      <c r="A255" s="10">
        <v>313</v>
      </c>
      <c r="B255" s="10" t="s">
        <v>172</v>
      </c>
      <c r="C255" s="13" t="s">
        <v>173</v>
      </c>
      <c r="D255" s="14">
        <v>0.25</v>
      </c>
      <c r="E255" s="19">
        <f t="shared" ca="1" si="3"/>
        <v>42881</v>
      </c>
      <c r="F255" s="12"/>
    </row>
    <row r="256" spans="1:6" x14ac:dyDescent="0.25">
      <c r="A256" s="10">
        <v>319</v>
      </c>
      <c r="B256" s="10" t="s">
        <v>174</v>
      </c>
      <c r="C256" s="13" t="s">
        <v>175</v>
      </c>
      <c r="D256" s="14">
        <v>0.75</v>
      </c>
      <c r="E256" s="19">
        <f t="shared" ca="1" si="3"/>
        <v>42881</v>
      </c>
      <c r="F256" s="12"/>
    </row>
    <row r="257" spans="1:6" x14ac:dyDescent="0.25">
      <c r="A257" s="10">
        <v>321</v>
      </c>
      <c r="B257" s="10" t="s">
        <v>937</v>
      </c>
      <c r="C257" s="13" t="s">
        <v>878</v>
      </c>
      <c r="D257" s="14">
        <v>1</v>
      </c>
      <c r="E257" s="19">
        <f t="shared" ca="1" si="3"/>
        <v>42881</v>
      </c>
      <c r="F257" s="12"/>
    </row>
    <row r="258" spans="1:6" x14ac:dyDescent="0.25">
      <c r="A258" s="10">
        <v>323</v>
      </c>
      <c r="B258" s="10" t="s">
        <v>176</v>
      </c>
      <c r="C258" s="13" t="s">
        <v>177</v>
      </c>
      <c r="D258" s="14">
        <v>0.75</v>
      </c>
      <c r="E258" s="19">
        <f t="shared" ca="1" si="3"/>
        <v>42881</v>
      </c>
      <c r="F258" s="12"/>
    </row>
    <row r="259" spans="1:6" x14ac:dyDescent="0.25">
      <c r="A259" s="10">
        <v>325</v>
      </c>
      <c r="B259" s="10" t="s">
        <v>178</v>
      </c>
      <c r="C259" s="13" t="s">
        <v>179</v>
      </c>
      <c r="D259" s="14">
        <v>0.5</v>
      </c>
      <c r="E259" s="19">
        <f t="shared" ref="E259:E322" ca="1" si="4">TODAY()</f>
        <v>42881</v>
      </c>
      <c r="F259" s="12"/>
    </row>
    <row r="260" spans="1:6" x14ac:dyDescent="0.25">
      <c r="A260" s="10">
        <v>330</v>
      </c>
      <c r="B260" s="10" t="s">
        <v>181</v>
      </c>
      <c r="C260" s="13" t="s">
        <v>182</v>
      </c>
      <c r="D260" s="14">
        <v>0.25</v>
      </c>
      <c r="E260" s="19">
        <f t="shared" ca="1" si="4"/>
        <v>42881</v>
      </c>
      <c r="F260" s="12"/>
    </row>
    <row r="261" spans="1:6" x14ac:dyDescent="0.25">
      <c r="A261" s="10">
        <v>331</v>
      </c>
      <c r="B261" s="10" t="s">
        <v>183</v>
      </c>
      <c r="C261" s="13" t="s">
        <v>184</v>
      </c>
      <c r="D261" s="14">
        <v>1.25</v>
      </c>
      <c r="E261" s="19">
        <f t="shared" ca="1" si="4"/>
        <v>42881</v>
      </c>
      <c r="F261" s="12"/>
    </row>
    <row r="262" spans="1:6" x14ac:dyDescent="0.25">
      <c r="A262" s="10">
        <v>334</v>
      </c>
      <c r="B262" s="10" t="s">
        <v>185</v>
      </c>
      <c r="C262" s="13" t="s">
        <v>186</v>
      </c>
      <c r="D262" s="14">
        <v>0.5</v>
      </c>
      <c r="E262" s="19">
        <f t="shared" ca="1" si="4"/>
        <v>42881</v>
      </c>
      <c r="F262" s="12"/>
    </row>
    <row r="263" spans="1:6" x14ac:dyDescent="0.25">
      <c r="A263" s="10">
        <v>337</v>
      </c>
      <c r="B263" s="10" t="s">
        <v>187</v>
      </c>
      <c r="C263" s="13" t="s">
        <v>188</v>
      </c>
      <c r="D263" s="14">
        <v>0.25</v>
      </c>
      <c r="E263" s="19">
        <f t="shared" ca="1" si="4"/>
        <v>42881</v>
      </c>
      <c r="F263" s="12"/>
    </row>
    <row r="264" spans="1:6" x14ac:dyDescent="0.25">
      <c r="A264" s="10">
        <v>339</v>
      </c>
      <c r="B264" s="10" t="s">
        <v>189</v>
      </c>
      <c r="C264" s="13" t="s">
        <v>190</v>
      </c>
      <c r="D264" s="14">
        <v>0.25</v>
      </c>
      <c r="E264" s="19">
        <f t="shared" ca="1" si="4"/>
        <v>42881</v>
      </c>
      <c r="F264" s="12"/>
    </row>
    <row r="265" spans="1:6" x14ac:dyDescent="0.25">
      <c r="A265" s="10">
        <v>341</v>
      </c>
      <c r="B265" s="10" t="s">
        <v>191</v>
      </c>
      <c r="C265" s="13" t="s">
        <v>192</v>
      </c>
      <c r="D265" s="14">
        <v>0.5</v>
      </c>
      <c r="E265" s="19">
        <f t="shared" ca="1" si="4"/>
        <v>42881</v>
      </c>
      <c r="F265" s="12"/>
    </row>
    <row r="266" spans="1:6" x14ac:dyDescent="0.25">
      <c r="A266" s="10">
        <v>342</v>
      </c>
      <c r="B266" s="10" t="s">
        <v>193</v>
      </c>
      <c r="C266" s="13" t="s">
        <v>194</v>
      </c>
      <c r="D266" s="14">
        <v>0.5</v>
      </c>
      <c r="E266" s="19">
        <f t="shared" ca="1" si="4"/>
        <v>42881</v>
      </c>
      <c r="F266" s="12"/>
    </row>
    <row r="267" spans="1:6" x14ac:dyDescent="0.25">
      <c r="A267" s="10">
        <v>346</v>
      </c>
      <c r="B267" s="10" t="s">
        <v>196</v>
      </c>
      <c r="C267" s="13" t="s">
        <v>197</v>
      </c>
      <c r="D267" s="14">
        <v>0.5</v>
      </c>
      <c r="E267" s="19">
        <f t="shared" ca="1" si="4"/>
        <v>42881</v>
      </c>
      <c r="F267" s="12"/>
    </row>
    <row r="268" spans="1:6" x14ac:dyDescent="0.25">
      <c r="A268" s="10">
        <v>366</v>
      </c>
      <c r="B268" s="10" t="s">
        <v>198</v>
      </c>
      <c r="C268" s="13" t="s">
        <v>199</v>
      </c>
      <c r="D268" s="14">
        <v>0.5</v>
      </c>
      <c r="E268" s="19">
        <f t="shared" ca="1" si="4"/>
        <v>42881</v>
      </c>
      <c r="F268" s="12"/>
    </row>
    <row r="269" spans="1:6" x14ac:dyDescent="0.25">
      <c r="A269" s="10">
        <v>37</v>
      </c>
      <c r="B269" s="10" t="s">
        <v>32</v>
      </c>
      <c r="C269" s="13" t="s">
        <v>33</v>
      </c>
      <c r="D269" s="14">
        <v>0.25</v>
      </c>
      <c r="E269" s="19">
        <f t="shared" ca="1" si="4"/>
        <v>42881</v>
      </c>
      <c r="F269" s="12"/>
    </row>
    <row r="270" spans="1:6" x14ac:dyDescent="0.25">
      <c r="A270" s="10">
        <v>38</v>
      </c>
      <c r="B270" s="10" t="s">
        <v>922</v>
      </c>
      <c r="C270" s="13" t="s">
        <v>863</v>
      </c>
      <c r="D270" s="14">
        <v>1</v>
      </c>
      <c r="E270" s="19">
        <f t="shared" ca="1" si="4"/>
        <v>42881</v>
      </c>
      <c r="F270" s="12"/>
    </row>
    <row r="271" spans="1:6" x14ac:dyDescent="0.25">
      <c r="A271" s="10">
        <v>39</v>
      </c>
      <c r="B271" s="10" t="s">
        <v>34</v>
      </c>
      <c r="C271" s="13" t="s">
        <v>35</v>
      </c>
      <c r="D271" s="14">
        <v>0.5</v>
      </c>
      <c r="E271" s="19">
        <f t="shared" ca="1" si="4"/>
        <v>42881</v>
      </c>
      <c r="F271" s="12"/>
    </row>
    <row r="272" spans="1:6" x14ac:dyDescent="0.25">
      <c r="A272" s="10">
        <v>400</v>
      </c>
      <c r="B272" s="10" t="s">
        <v>200</v>
      </c>
      <c r="C272" s="13" t="s">
        <v>201</v>
      </c>
      <c r="D272" s="14">
        <v>0.25</v>
      </c>
      <c r="E272" s="19">
        <f t="shared" ca="1" si="4"/>
        <v>42881</v>
      </c>
      <c r="F272" s="12"/>
    </row>
    <row r="273" spans="1:6" x14ac:dyDescent="0.25">
      <c r="A273" s="10">
        <v>404</v>
      </c>
      <c r="B273" s="10" t="s">
        <v>202</v>
      </c>
      <c r="C273" s="13" t="s">
        <v>203</v>
      </c>
      <c r="D273" s="14">
        <v>0.5</v>
      </c>
      <c r="E273" s="19">
        <f t="shared" ca="1" si="4"/>
        <v>42881</v>
      </c>
      <c r="F273" s="12"/>
    </row>
    <row r="274" spans="1:6" x14ac:dyDescent="0.25">
      <c r="A274" s="10">
        <v>407</v>
      </c>
      <c r="B274" s="10" t="s">
        <v>204</v>
      </c>
      <c r="C274" s="13" t="s">
        <v>205</v>
      </c>
      <c r="D274" s="14">
        <v>0.5</v>
      </c>
      <c r="E274" s="19">
        <f t="shared" ca="1" si="4"/>
        <v>42881</v>
      </c>
      <c r="F274" s="12"/>
    </row>
    <row r="275" spans="1:6" x14ac:dyDescent="0.25">
      <c r="A275" s="10">
        <v>408</v>
      </c>
      <c r="B275" s="10" t="s">
        <v>206</v>
      </c>
      <c r="C275" s="13" t="s">
        <v>207</v>
      </c>
      <c r="D275" s="14">
        <v>0.25</v>
      </c>
      <c r="E275" s="19">
        <f t="shared" ca="1" si="4"/>
        <v>42881</v>
      </c>
      <c r="F275" s="12"/>
    </row>
    <row r="276" spans="1:6" x14ac:dyDescent="0.25">
      <c r="A276" s="10">
        <v>41</v>
      </c>
      <c r="B276" s="10" t="s">
        <v>36</v>
      </c>
      <c r="C276" s="13" t="s">
        <v>37</v>
      </c>
      <c r="D276" s="14">
        <v>1</v>
      </c>
      <c r="E276" s="19">
        <f t="shared" ca="1" si="4"/>
        <v>42881</v>
      </c>
      <c r="F276" s="12"/>
    </row>
    <row r="277" spans="1:6" x14ac:dyDescent="0.25">
      <c r="A277" s="10">
        <v>415</v>
      </c>
      <c r="B277" s="10" t="s">
        <v>208</v>
      </c>
      <c r="C277" s="13" t="s">
        <v>209</v>
      </c>
      <c r="D277" s="14">
        <v>0.25</v>
      </c>
      <c r="E277" s="19">
        <f t="shared" ca="1" si="4"/>
        <v>42881</v>
      </c>
      <c r="F277" s="12"/>
    </row>
    <row r="278" spans="1:6" x14ac:dyDescent="0.25">
      <c r="A278" s="10">
        <v>416</v>
      </c>
      <c r="B278" s="10" t="s">
        <v>210</v>
      </c>
      <c r="C278" s="13" t="s">
        <v>211</v>
      </c>
      <c r="D278" s="14">
        <v>1</v>
      </c>
      <c r="E278" s="19">
        <f t="shared" ca="1" si="4"/>
        <v>42881</v>
      </c>
      <c r="F278" s="12"/>
    </row>
    <row r="279" spans="1:6" x14ac:dyDescent="0.25">
      <c r="A279" s="10">
        <v>417</v>
      </c>
      <c r="B279" s="10" t="s">
        <v>938</v>
      </c>
      <c r="C279" s="13" t="s">
        <v>879</v>
      </c>
      <c r="D279" s="14">
        <v>0.25</v>
      </c>
      <c r="E279" s="19">
        <f t="shared" ca="1" si="4"/>
        <v>42881</v>
      </c>
      <c r="F279" s="12"/>
    </row>
    <row r="280" spans="1:6" x14ac:dyDescent="0.25">
      <c r="A280" s="10">
        <v>418</v>
      </c>
      <c r="B280" s="10" t="s">
        <v>939</v>
      </c>
      <c r="C280" s="13" t="s">
        <v>880</v>
      </c>
      <c r="D280" s="14">
        <v>0.25</v>
      </c>
      <c r="E280" s="19">
        <f t="shared" ca="1" si="4"/>
        <v>42881</v>
      </c>
      <c r="F280" s="12"/>
    </row>
    <row r="281" spans="1:6" x14ac:dyDescent="0.25">
      <c r="A281" s="10">
        <v>419</v>
      </c>
      <c r="B281" s="10" t="s">
        <v>212</v>
      </c>
      <c r="C281" s="13" t="s">
        <v>213</v>
      </c>
      <c r="D281" s="14">
        <v>0.25</v>
      </c>
      <c r="E281" s="19">
        <f t="shared" ca="1" si="4"/>
        <v>42881</v>
      </c>
      <c r="F281" s="12"/>
    </row>
    <row r="282" spans="1:6" x14ac:dyDescent="0.25">
      <c r="A282" s="10">
        <v>450</v>
      </c>
      <c r="B282" s="10" t="s">
        <v>214</v>
      </c>
      <c r="C282" s="13" t="s">
        <v>215</v>
      </c>
      <c r="D282" s="14">
        <v>0.25</v>
      </c>
      <c r="E282" s="19">
        <f t="shared" ca="1" si="4"/>
        <v>42881</v>
      </c>
      <c r="F282" s="12"/>
    </row>
    <row r="283" spans="1:6" x14ac:dyDescent="0.25">
      <c r="A283" s="10">
        <v>48</v>
      </c>
      <c r="B283" s="10" t="s">
        <v>40</v>
      </c>
      <c r="C283" s="13" t="s">
        <v>41</v>
      </c>
      <c r="D283" s="14">
        <v>0.75</v>
      </c>
      <c r="E283" s="19">
        <f t="shared" ca="1" si="4"/>
        <v>42881</v>
      </c>
      <c r="F283" s="12"/>
    </row>
    <row r="284" spans="1:6" x14ac:dyDescent="0.25">
      <c r="A284" s="10">
        <v>5</v>
      </c>
      <c r="B284" s="10" t="s">
        <v>5</v>
      </c>
      <c r="C284" s="13" t="s">
        <v>6</v>
      </c>
      <c r="D284" s="14">
        <v>0.25</v>
      </c>
      <c r="E284" s="19">
        <f t="shared" ca="1" si="4"/>
        <v>42881</v>
      </c>
      <c r="F284" s="12"/>
    </row>
    <row r="285" spans="1:6" x14ac:dyDescent="0.25">
      <c r="A285" s="10">
        <v>509</v>
      </c>
      <c r="B285" s="10" t="s">
        <v>940</v>
      </c>
      <c r="C285" s="13" t="s">
        <v>881</v>
      </c>
      <c r="D285" s="14">
        <v>0.25</v>
      </c>
      <c r="E285" s="19">
        <f t="shared" ca="1" si="4"/>
        <v>42881</v>
      </c>
      <c r="F285" s="12"/>
    </row>
    <row r="286" spans="1:6" x14ac:dyDescent="0.25">
      <c r="A286" s="10">
        <v>516</v>
      </c>
      <c r="B286" s="10" t="s">
        <v>221</v>
      </c>
      <c r="C286" s="13" t="s">
        <v>222</v>
      </c>
      <c r="D286" s="14">
        <v>0.25</v>
      </c>
      <c r="E286" s="19">
        <f t="shared" ca="1" si="4"/>
        <v>42881</v>
      </c>
      <c r="F286" s="12"/>
    </row>
    <row r="287" spans="1:6" x14ac:dyDescent="0.25">
      <c r="A287" s="10">
        <v>52</v>
      </c>
      <c r="B287" s="10" t="s">
        <v>923</v>
      </c>
      <c r="C287" s="13" t="s">
        <v>864</v>
      </c>
      <c r="D287" s="14">
        <v>1</v>
      </c>
      <c r="E287" s="19">
        <f t="shared" ca="1" si="4"/>
        <v>42881</v>
      </c>
      <c r="F287" s="12"/>
    </row>
    <row r="288" spans="1:6" x14ac:dyDescent="0.25">
      <c r="A288" s="10">
        <v>524</v>
      </c>
      <c r="B288" s="10" t="s">
        <v>223</v>
      </c>
      <c r="C288" s="13" t="s">
        <v>224</v>
      </c>
      <c r="D288" s="14">
        <v>1.25</v>
      </c>
      <c r="E288" s="19">
        <f t="shared" ca="1" si="4"/>
        <v>42881</v>
      </c>
      <c r="F288" s="12"/>
    </row>
    <row r="289" spans="1:6" x14ac:dyDescent="0.25">
      <c r="A289" s="10">
        <v>53</v>
      </c>
      <c r="B289" s="10" t="s">
        <v>45</v>
      </c>
      <c r="C289" s="13" t="s">
        <v>46</v>
      </c>
      <c r="D289" s="14">
        <v>0.5</v>
      </c>
      <c r="E289" s="19">
        <f t="shared" ca="1" si="4"/>
        <v>42881</v>
      </c>
      <c r="F289" s="12"/>
    </row>
    <row r="290" spans="1:6" x14ac:dyDescent="0.25">
      <c r="A290" s="10">
        <v>531</v>
      </c>
      <c r="B290" s="10" t="s">
        <v>226</v>
      </c>
      <c r="C290" s="13" t="s">
        <v>227</v>
      </c>
      <c r="D290" s="14">
        <v>1</v>
      </c>
      <c r="E290" s="19">
        <f t="shared" ca="1" si="4"/>
        <v>42881</v>
      </c>
      <c r="F290" s="12"/>
    </row>
    <row r="291" spans="1:6" x14ac:dyDescent="0.25">
      <c r="A291" s="10">
        <v>533</v>
      </c>
      <c r="B291" s="10" t="s">
        <v>228</v>
      </c>
      <c r="C291" s="13" t="s">
        <v>229</v>
      </c>
      <c r="D291" s="14">
        <v>0.5</v>
      </c>
      <c r="E291" s="19">
        <f t="shared" ca="1" si="4"/>
        <v>42881</v>
      </c>
      <c r="F291" s="12"/>
    </row>
    <row r="292" spans="1:6" x14ac:dyDescent="0.25">
      <c r="A292" s="10">
        <v>539</v>
      </c>
      <c r="B292" s="10" t="s">
        <v>941</v>
      </c>
      <c r="C292" s="13" t="s">
        <v>882</v>
      </c>
      <c r="D292" s="14">
        <v>1</v>
      </c>
      <c r="E292" s="19">
        <f t="shared" ca="1" si="4"/>
        <v>42881</v>
      </c>
      <c r="F292" s="12"/>
    </row>
    <row r="293" spans="1:6" x14ac:dyDescent="0.25">
      <c r="A293" s="10">
        <v>54</v>
      </c>
      <c r="B293" s="10" t="s">
        <v>47</v>
      </c>
      <c r="C293" s="13" t="s">
        <v>48</v>
      </c>
      <c r="D293" s="14">
        <v>0.5</v>
      </c>
      <c r="E293" s="19">
        <f t="shared" ca="1" si="4"/>
        <v>42881</v>
      </c>
      <c r="F293" s="12"/>
    </row>
    <row r="294" spans="1:6" x14ac:dyDescent="0.25">
      <c r="A294" s="10">
        <v>549</v>
      </c>
      <c r="B294" s="10" t="s">
        <v>942</v>
      </c>
      <c r="C294" s="13" t="s">
        <v>883</v>
      </c>
      <c r="D294" s="14">
        <v>0.5</v>
      </c>
      <c r="E294" s="19">
        <f t="shared" ca="1" si="4"/>
        <v>42881</v>
      </c>
      <c r="F294" s="12"/>
    </row>
    <row r="295" spans="1:6" x14ac:dyDescent="0.25">
      <c r="A295" s="10">
        <v>55</v>
      </c>
      <c r="B295" s="10" t="s">
        <v>49</v>
      </c>
      <c r="C295" s="13" t="s">
        <v>50</v>
      </c>
      <c r="D295" s="14">
        <v>0.5</v>
      </c>
      <c r="E295" s="19">
        <f t="shared" ca="1" si="4"/>
        <v>42881</v>
      </c>
      <c r="F295" s="12"/>
    </row>
    <row r="296" spans="1:6" x14ac:dyDescent="0.25">
      <c r="A296" s="10">
        <v>560</v>
      </c>
      <c r="B296" s="10" t="s">
        <v>235</v>
      </c>
      <c r="C296" s="13" t="s">
        <v>236</v>
      </c>
      <c r="D296" s="14">
        <v>0.25</v>
      </c>
      <c r="E296" s="19">
        <f t="shared" ca="1" si="4"/>
        <v>42881</v>
      </c>
      <c r="F296" s="12"/>
    </row>
    <row r="297" spans="1:6" x14ac:dyDescent="0.25">
      <c r="A297" s="10">
        <v>57</v>
      </c>
      <c r="B297" s="10" t="s">
        <v>924</v>
      </c>
      <c r="C297" s="13" t="s">
        <v>865</v>
      </c>
      <c r="D297" s="14">
        <v>1</v>
      </c>
      <c r="E297" s="19">
        <f t="shared" ca="1" si="4"/>
        <v>42881</v>
      </c>
      <c r="F297" s="12"/>
    </row>
    <row r="298" spans="1:6" x14ac:dyDescent="0.25">
      <c r="A298" s="10">
        <v>572</v>
      </c>
      <c r="B298" s="10" t="s">
        <v>238</v>
      </c>
      <c r="C298" s="13" t="s">
        <v>239</v>
      </c>
      <c r="D298" s="14">
        <v>0.25</v>
      </c>
      <c r="E298" s="19">
        <f t="shared" ca="1" si="4"/>
        <v>42881</v>
      </c>
      <c r="F298" s="12"/>
    </row>
    <row r="299" spans="1:6" x14ac:dyDescent="0.25">
      <c r="A299" s="10">
        <v>58</v>
      </c>
      <c r="B299" s="10" t="s">
        <v>51</v>
      </c>
      <c r="C299" s="13" t="s">
        <v>52</v>
      </c>
      <c r="D299" s="14">
        <v>0.25</v>
      </c>
      <c r="E299" s="19">
        <f t="shared" ca="1" si="4"/>
        <v>42881</v>
      </c>
      <c r="F299" s="12"/>
    </row>
    <row r="300" spans="1:6" x14ac:dyDescent="0.25">
      <c r="A300" s="10">
        <v>583</v>
      </c>
      <c r="B300" s="10" t="s">
        <v>943</v>
      </c>
      <c r="C300" s="13" t="s">
        <v>884</v>
      </c>
      <c r="D300" s="14">
        <v>1</v>
      </c>
      <c r="E300" s="19">
        <f t="shared" ca="1" si="4"/>
        <v>42881</v>
      </c>
      <c r="F300" s="12"/>
    </row>
    <row r="301" spans="1:6" x14ac:dyDescent="0.25">
      <c r="A301" s="10">
        <v>587</v>
      </c>
      <c r="B301" s="10" t="s">
        <v>944</v>
      </c>
      <c r="C301" s="13" t="s">
        <v>885</v>
      </c>
      <c r="D301" s="14">
        <v>0.75</v>
      </c>
      <c r="E301" s="19">
        <f t="shared" ca="1" si="4"/>
        <v>42881</v>
      </c>
      <c r="F301" s="12"/>
    </row>
    <row r="302" spans="1:6" x14ac:dyDescent="0.25">
      <c r="A302" s="10">
        <v>589</v>
      </c>
      <c r="B302" s="10" t="s">
        <v>945</v>
      </c>
      <c r="C302" s="13" t="s">
        <v>886</v>
      </c>
      <c r="D302" s="14">
        <v>1</v>
      </c>
      <c r="E302" s="19">
        <f t="shared" ca="1" si="4"/>
        <v>42881</v>
      </c>
      <c r="F302" s="12"/>
    </row>
    <row r="303" spans="1:6" x14ac:dyDescent="0.25">
      <c r="A303" s="10">
        <v>590</v>
      </c>
      <c r="B303" s="10" t="s">
        <v>240</v>
      </c>
      <c r="C303" s="13" t="s">
        <v>241</v>
      </c>
      <c r="D303" s="14">
        <v>0.25</v>
      </c>
      <c r="E303" s="19">
        <f t="shared" ca="1" si="4"/>
        <v>42881</v>
      </c>
      <c r="F303" s="12"/>
    </row>
    <row r="304" spans="1:6" x14ac:dyDescent="0.25">
      <c r="A304" s="10">
        <v>592</v>
      </c>
      <c r="B304" s="10" t="s">
        <v>242</v>
      </c>
      <c r="C304" s="13" t="s">
        <v>243</v>
      </c>
      <c r="D304" s="14">
        <v>1.5</v>
      </c>
      <c r="E304" s="19">
        <f t="shared" ca="1" si="4"/>
        <v>42881</v>
      </c>
      <c r="F304" s="12"/>
    </row>
    <row r="305" spans="1:6" x14ac:dyDescent="0.25">
      <c r="A305" s="10">
        <v>597</v>
      </c>
      <c r="B305" s="10" t="s">
        <v>244</v>
      </c>
      <c r="C305" s="13" t="s">
        <v>245</v>
      </c>
      <c r="D305" s="14">
        <v>0.5</v>
      </c>
      <c r="E305" s="19">
        <f t="shared" ca="1" si="4"/>
        <v>42881</v>
      </c>
      <c r="F305" s="12"/>
    </row>
    <row r="306" spans="1:6" x14ac:dyDescent="0.25">
      <c r="A306" s="10">
        <v>6</v>
      </c>
      <c r="B306" s="10" t="s">
        <v>7</v>
      </c>
      <c r="C306" s="13" t="s">
        <v>8</v>
      </c>
      <c r="D306" s="14">
        <v>0.25</v>
      </c>
      <c r="E306" s="19">
        <f t="shared" ca="1" si="4"/>
        <v>42881</v>
      </c>
      <c r="F306" s="12"/>
    </row>
    <row r="307" spans="1:6" x14ac:dyDescent="0.25">
      <c r="A307" s="10">
        <v>61</v>
      </c>
      <c r="B307" s="10" t="s">
        <v>53</v>
      </c>
      <c r="C307" s="13" t="s">
        <v>54</v>
      </c>
      <c r="D307" s="14">
        <v>0.75</v>
      </c>
      <c r="E307" s="19">
        <f t="shared" ca="1" si="4"/>
        <v>42881</v>
      </c>
      <c r="F307" s="12"/>
    </row>
    <row r="308" spans="1:6" x14ac:dyDescent="0.25">
      <c r="A308" s="10">
        <v>610</v>
      </c>
      <c r="B308" s="10" t="s">
        <v>247</v>
      </c>
      <c r="C308" s="13" t="s">
        <v>248</v>
      </c>
      <c r="D308" s="14">
        <v>3</v>
      </c>
      <c r="E308" s="19">
        <f t="shared" ca="1" si="4"/>
        <v>42881</v>
      </c>
      <c r="F308" s="12"/>
    </row>
    <row r="309" spans="1:6" x14ac:dyDescent="0.25">
      <c r="A309" s="10">
        <v>62</v>
      </c>
      <c r="B309" s="10" t="s">
        <v>925</v>
      </c>
      <c r="C309" s="13" t="s">
        <v>866</v>
      </c>
      <c r="D309" s="14">
        <v>0.5</v>
      </c>
      <c r="E309" s="19">
        <f t="shared" ca="1" si="4"/>
        <v>42881</v>
      </c>
      <c r="F309" s="12"/>
    </row>
    <row r="310" spans="1:6" x14ac:dyDescent="0.25">
      <c r="A310" s="10">
        <v>621</v>
      </c>
      <c r="B310" s="10" t="s">
        <v>946</v>
      </c>
      <c r="C310" s="13" t="s">
        <v>887</v>
      </c>
      <c r="D310" s="14">
        <v>0.25</v>
      </c>
      <c r="E310" s="19">
        <f t="shared" ca="1" si="4"/>
        <v>42881</v>
      </c>
      <c r="F310" s="12"/>
    </row>
    <row r="311" spans="1:6" x14ac:dyDescent="0.25">
      <c r="A311" s="10">
        <v>622</v>
      </c>
      <c r="B311" s="10" t="s">
        <v>253</v>
      </c>
      <c r="C311" s="13" t="s">
        <v>254</v>
      </c>
      <c r="D311" s="14">
        <v>0.25</v>
      </c>
      <c r="E311" s="19">
        <f t="shared" ca="1" si="4"/>
        <v>42881</v>
      </c>
      <c r="F311" s="12"/>
    </row>
    <row r="312" spans="1:6" x14ac:dyDescent="0.25">
      <c r="A312" s="10">
        <v>626</v>
      </c>
      <c r="B312" s="10" t="s">
        <v>255</v>
      </c>
      <c r="C312" s="13" t="s">
        <v>256</v>
      </c>
      <c r="D312" s="14">
        <v>1.25</v>
      </c>
      <c r="E312" s="19">
        <f t="shared" ca="1" si="4"/>
        <v>42881</v>
      </c>
      <c r="F312" s="12"/>
    </row>
    <row r="313" spans="1:6" x14ac:dyDescent="0.25">
      <c r="A313" s="10">
        <v>629</v>
      </c>
      <c r="B313" s="10" t="s">
        <v>258</v>
      </c>
      <c r="C313" s="13" t="s">
        <v>259</v>
      </c>
      <c r="D313" s="14">
        <v>0.25</v>
      </c>
      <c r="E313" s="19">
        <f t="shared" ca="1" si="4"/>
        <v>42881</v>
      </c>
      <c r="F313" s="12"/>
    </row>
    <row r="314" spans="1:6" x14ac:dyDescent="0.25">
      <c r="A314" s="10">
        <v>631</v>
      </c>
      <c r="B314" s="10" t="s">
        <v>260</v>
      </c>
      <c r="C314" s="13" t="s">
        <v>261</v>
      </c>
      <c r="D314" s="14">
        <v>0.5</v>
      </c>
      <c r="E314" s="19">
        <f t="shared" ca="1" si="4"/>
        <v>42881</v>
      </c>
      <c r="F314" s="12"/>
    </row>
    <row r="315" spans="1:6" x14ac:dyDescent="0.25">
      <c r="A315" s="10">
        <v>633</v>
      </c>
      <c r="B315" s="10" t="s">
        <v>262</v>
      </c>
      <c r="C315" s="13" t="s">
        <v>263</v>
      </c>
      <c r="D315" s="14">
        <v>0.25</v>
      </c>
      <c r="E315" s="19">
        <f t="shared" ca="1" si="4"/>
        <v>42881</v>
      </c>
      <c r="F315" s="12"/>
    </row>
    <row r="316" spans="1:6" x14ac:dyDescent="0.25">
      <c r="A316" s="10">
        <v>634</v>
      </c>
      <c r="B316" s="10" t="s">
        <v>264</v>
      </c>
      <c r="C316" s="13" t="s">
        <v>265</v>
      </c>
      <c r="D316" s="14">
        <v>1</v>
      </c>
      <c r="E316" s="19">
        <f t="shared" ca="1" si="4"/>
        <v>42881</v>
      </c>
      <c r="F316" s="12"/>
    </row>
    <row r="317" spans="1:6" x14ac:dyDescent="0.25">
      <c r="A317" s="10">
        <v>642</v>
      </c>
      <c r="B317" s="10" t="s">
        <v>267</v>
      </c>
      <c r="C317" s="13" t="s">
        <v>268</v>
      </c>
      <c r="D317" s="14">
        <v>0.25</v>
      </c>
      <c r="E317" s="19">
        <f t="shared" ca="1" si="4"/>
        <v>42881</v>
      </c>
      <c r="F317" s="12"/>
    </row>
    <row r="318" spans="1:6" x14ac:dyDescent="0.25">
      <c r="A318" s="10">
        <v>658</v>
      </c>
      <c r="B318" s="10" t="s">
        <v>272</v>
      </c>
      <c r="C318" s="13" t="s">
        <v>273</v>
      </c>
      <c r="D318" s="14">
        <v>0.5</v>
      </c>
      <c r="E318" s="19">
        <f t="shared" ca="1" si="4"/>
        <v>42881</v>
      </c>
      <c r="F318" s="12"/>
    </row>
    <row r="319" spans="1:6" x14ac:dyDescent="0.25">
      <c r="A319" s="10">
        <v>663</v>
      </c>
      <c r="B319" s="10" t="s">
        <v>274</v>
      </c>
      <c r="C319" s="13" t="s">
        <v>275</v>
      </c>
      <c r="D319" s="14">
        <v>0.25</v>
      </c>
      <c r="E319" s="19">
        <f t="shared" ca="1" si="4"/>
        <v>42881</v>
      </c>
      <c r="F319" s="12"/>
    </row>
    <row r="320" spans="1:6" x14ac:dyDescent="0.25">
      <c r="A320" s="10">
        <v>67</v>
      </c>
      <c r="B320" s="10" t="s">
        <v>55</v>
      </c>
      <c r="C320" s="13" t="s">
        <v>56</v>
      </c>
      <c r="D320" s="14">
        <v>0.25</v>
      </c>
      <c r="E320" s="19">
        <f t="shared" ca="1" si="4"/>
        <v>42881</v>
      </c>
      <c r="F320" s="12"/>
    </row>
    <row r="321" spans="1:6" x14ac:dyDescent="0.25">
      <c r="A321" s="10">
        <v>677</v>
      </c>
      <c r="B321" s="10" t="s">
        <v>947</v>
      </c>
      <c r="C321" s="13" t="s">
        <v>888</v>
      </c>
      <c r="D321" s="14">
        <v>0.25</v>
      </c>
      <c r="E321" s="19">
        <f t="shared" ca="1" si="4"/>
        <v>42881</v>
      </c>
      <c r="F321" s="12"/>
    </row>
    <row r="322" spans="1:6" x14ac:dyDescent="0.25">
      <c r="A322" s="10">
        <v>678</v>
      </c>
      <c r="B322" s="10" t="s">
        <v>277</v>
      </c>
      <c r="C322" s="13" t="s">
        <v>278</v>
      </c>
      <c r="D322" s="14">
        <v>1</v>
      </c>
      <c r="E322" s="19">
        <f t="shared" ca="1" si="4"/>
        <v>42881</v>
      </c>
      <c r="F322" s="12"/>
    </row>
    <row r="323" spans="1:6" x14ac:dyDescent="0.25">
      <c r="A323" s="10">
        <v>692</v>
      </c>
      <c r="B323" s="10" t="s">
        <v>948</v>
      </c>
      <c r="C323" s="13" t="s">
        <v>889</v>
      </c>
      <c r="D323" s="14">
        <v>1</v>
      </c>
      <c r="E323" s="19">
        <f t="shared" ref="E323:E386" ca="1" si="5">TODAY()</f>
        <v>42881</v>
      </c>
      <c r="F323" s="12"/>
    </row>
    <row r="324" spans="1:6" x14ac:dyDescent="0.25">
      <c r="A324" s="10">
        <v>7</v>
      </c>
      <c r="B324" s="10" t="s">
        <v>9</v>
      </c>
      <c r="C324" s="13" t="s">
        <v>10</v>
      </c>
      <c r="D324" s="14">
        <v>0.75</v>
      </c>
      <c r="E324" s="19">
        <f t="shared" ca="1" si="5"/>
        <v>42881</v>
      </c>
      <c r="F324" s="12"/>
    </row>
    <row r="325" spans="1:6" x14ac:dyDescent="0.25">
      <c r="A325" s="10">
        <v>704</v>
      </c>
      <c r="B325" s="10" t="s">
        <v>949</v>
      </c>
      <c r="C325" s="13" t="s">
        <v>890</v>
      </c>
      <c r="D325" s="14">
        <v>0.25</v>
      </c>
      <c r="E325" s="19">
        <f t="shared" ca="1" si="5"/>
        <v>42881</v>
      </c>
      <c r="F325" s="12"/>
    </row>
    <row r="326" spans="1:6" x14ac:dyDescent="0.25">
      <c r="A326" s="10">
        <v>71</v>
      </c>
      <c r="B326" s="10" t="s">
        <v>58</v>
      </c>
      <c r="C326" s="13" t="s">
        <v>59</v>
      </c>
      <c r="D326" s="14">
        <v>1</v>
      </c>
      <c r="E326" s="19">
        <f t="shared" ca="1" si="5"/>
        <v>42881</v>
      </c>
      <c r="F326" s="12"/>
    </row>
    <row r="327" spans="1:6" x14ac:dyDescent="0.25">
      <c r="A327" s="10">
        <v>74</v>
      </c>
      <c r="B327" s="10" t="s">
        <v>60</v>
      </c>
      <c r="C327" s="13" t="s">
        <v>61</v>
      </c>
      <c r="D327" s="14">
        <v>1</v>
      </c>
      <c r="E327" s="19">
        <f t="shared" ca="1" si="5"/>
        <v>42881</v>
      </c>
      <c r="F327" s="12"/>
    </row>
    <row r="328" spans="1:6" x14ac:dyDescent="0.25">
      <c r="A328" s="10">
        <v>752</v>
      </c>
      <c r="B328" s="10" t="s">
        <v>287</v>
      </c>
      <c r="C328" s="13" t="s">
        <v>288</v>
      </c>
      <c r="D328" s="14">
        <v>0.5</v>
      </c>
      <c r="E328" s="19">
        <f t="shared" ca="1" si="5"/>
        <v>42881</v>
      </c>
      <c r="F328" s="12"/>
    </row>
    <row r="329" spans="1:6" x14ac:dyDescent="0.25">
      <c r="A329" s="10">
        <v>7650</v>
      </c>
      <c r="B329" s="10" t="s">
        <v>821</v>
      </c>
      <c r="C329" s="13" t="s">
        <v>822</v>
      </c>
      <c r="D329" s="14">
        <v>2</v>
      </c>
      <c r="E329" s="19">
        <f t="shared" ca="1" si="5"/>
        <v>42881</v>
      </c>
      <c r="F329" s="12"/>
    </row>
    <row r="330" spans="1:6" x14ac:dyDescent="0.25">
      <c r="A330" s="10">
        <v>7651</v>
      </c>
      <c r="B330" s="10" t="s">
        <v>823</v>
      </c>
      <c r="C330" s="13" t="s">
        <v>824</v>
      </c>
      <c r="D330" s="14">
        <v>1</v>
      </c>
      <c r="E330" s="19">
        <f t="shared" ca="1" si="5"/>
        <v>42881</v>
      </c>
      <c r="F330" s="12"/>
    </row>
    <row r="331" spans="1:6" x14ac:dyDescent="0.25">
      <c r="A331" s="10">
        <v>7652</v>
      </c>
      <c r="B331" s="10" t="s">
        <v>974</v>
      </c>
      <c r="C331" s="13" t="s">
        <v>915</v>
      </c>
      <c r="D331" s="14">
        <v>0.25</v>
      </c>
      <c r="E331" s="19">
        <f t="shared" ca="1" si="5"/>
        <v>42881</v>
      </c>
      <c r="F331" s="12"/>
    </row>
    <row r="332" spans="1:6" x14ac:dyDescent="0.25">
      <c r="A332" s="10">
        <v>7655</v>
      </c>
      <c r="B332" s="10" t="s">
        <v>825</v>
      </c>
      <c r="C332" s="13" t="s">
        <v>826</v>
      </c>
      <c r="D332" s="14">
        <v>1</v>
      </c>
      <c r="E332" s="19">
        <f t="shared" ca="1" si="5"/>
        <v>42881</v>
      </c>
      <c r="F332" s="12"/>
    </row>
    <row r="333" spans="1:6" x14ac:dyDescent="0.25">
      <c r="A333" s="10">
        <v>7659</v>
      </c>
      <c r="B333" s="10" t="s">
        <v>827</v>
      </c>
      <c r="C333" s="13" t="s">
        <v>828</v>
      </c>
      <c r="D333" s="14">
        <v>0.25</v>
      </c>
      <c r="E333" s="19">
        <f t="shared" ca="1" si="5"/>
        <v>42881</v>
      </c>
      <c r="F333" s="12"/>
    </row>
    <row r="334" spans="1:6" x14ac:dyDescent="0.25">
      <c r="A334" s="10">
        <v>7660</v>
      </c>
      <c r="B334" s="10" t="s">
        <v>975</v>
      </c>
      <c r="C334" s="13" t="s">
        <v>916</v>
      </c>
      <c r="D334" s="14">
        <v>0.25</v>
      </c>
      <c r="E334" s="19">
        <f t="shared" ca="1" si="5"/>
        <v>42881</v>
      </c>
      <c r="F334" s="12"/>
    </row>
    <row r="335" spans="1:6" x14ac:dyDescent="0.25">
      <c r="A335" s="10">
        <v>7661</v>
      </c>
      <c r="B335" s="10" t="s">
        <v>829</v>
      </c>
      <c r="C335" s="13" t="s">
        <v>830</v>
      </c>
      <c r="D335" s="14">
        <v>1</v>
      </c>
      <c r="E335" s="19">
        <f t="shared" ca="1" si="5"/>
        <v>42881</v>
      </c>
      <c r="F335" s="12"/>
    </row>
    <row r="336" spans="1:6" x14ac:dyDescent="0.25">
      <c r="A336" s="10">
        <v>7662</v>
      </c>
      <c r="B336" s="10" t="s">
        <v>831</v>
      </c>
      <c r="C336" s="13" t="s">
        <v>832</v>
      </c>
      <c r="D336" s="14">
        <v>1</v>
      </c>
      <c r="E336" s="19">
        <f t="shared" ca="1" si="5"/>
        <v>42881</v>
      </c>
      <c r="F336" s="12"/>
    </row>
    <row r="337" spans="1:6" x14ac:dyDescent="0.25">
      <c r="A337" s="10">
        <v>7678</v>
      </c>
      <c r="B337" s="10" t="s">
        <v>834</v>
      </c>
      <c r="C337" s="13" t="s">
        <v>835</v>
      </c>
      <c r="D337" s="14">
        <v>0.75</v>
      </c>
      <c r="E337" s="19">
        <f t="shared" ca="1" si="5"/>
        <v>42881</v>
      </c>
      <c r="F337" s="12"/>
    </row>
    <row r="338" spans="1:6" x14ac:dyDescent="0.25">
      <c r="A338" s="10">
        <v>7679</v>
      </c>
      <c r="B338" s="10" t="s">
        <v>836</v>
      </c>
      <c r="C338" s="13" t="s">
        <v>837</v>
      </c>
      <c r="D338" s="14">
        <v>0.5</v>
      </c>
      <c r="E338" s="19">
        <f t="shared" ca="1" si="5"/>
        <v>42881</v>
      </c>
      <c r="F338" s="12"/>
    </row>
    <row r="339" spans="1:6" x14ac:dyDescent="0.25">
      <c r="A339" s="10">
        <v>7685</v>
      </c>
      <c r="B339" s="10" t="s">
        <v>838</v>
      </c>
      <c r="C339" s="13" t="s">
        <v>839</v>
      </c>
      <c r="D339" s="14">
        <v>0.25</v>
      </c>
      <c r="E339" s="19">
        <f t="shared" ca="1" si="5"/>
        <v>42881</v>
      </c>
      <c r="F339" s="12"/>
    </row>
    <row r="340" spans="1:6" x14ac:dyDescent="0.25">
      <c r="A340" s="10">
        <v>7688</v>
      </c>
      <c r="B340" s="10" t="s">
        <v>1027</v>
      </c>
      <c r="C340" s="13" t="s">
        <v>1028</v>
      </c>
      <c r="D340" s="14">
        <v>0.5</v>
      </c>
      <c r="E340" s="19">
        <f t="shared" ca="1" si="5"/>
        <v>42881</v>
      </c>
      <c r="F340" s="12"/>
    </row>
    <row r="341" spans="1:6" x14ac:dyDescent="0.25">
      <c r="A341" s="10">
        <v>7690</v>
      </c>
      <c r="B341" s="10" t="s">
        <v>840</v>
      </c>
      <c r="C341" s="13" t="s">
        <v>841</v>
      </c>
      <c r="D341" s="14">
        <v>0.5</v>
      </c>
      <c r="E341" s="19">
        <f t="shared" ca="1" si="5"/>
        <v>42881</v>
      </c>
      <c r="F341" s="12"/>
    </row>
    <row r="342" spans="1:6" x14ac:dyDescent="0.25">
      <c r="A342" s="10">
        <v>7692</v>
      </c>
      <c r="B342" s="10" t="s">
        <v>842</v>
      </c>
      <c r="C342" s="13" t="s">
        <v>843</v>
      </c>
      <c r="D342" s="14">
        <v>1</v>
      </c>
      <c r="E342" s="19">
        <f t="shared" ca="1" si="5"/>
        <v>42881</v>
      </c>
      <c r="F342" s="12"/>
    </row>
    <row r="343" spans="1:6" x14ac:dyDescent="0.25">
      <c r="A343" s="10">
        <v>7697</v>
      </c>
      <c r="B343" s="10" t="s">
        <v>1029</v>
      </c>
      <c r="C343" s="13" t="s">
        <v>1030</v>
      </c>
      <c r="D343" s="14">
        <v>0.75</v>
      </c>
      <c r="E343" s="19">
        <f t="shared" ca="1" si="5"/>
        <v>42881</v>
      </c>
      <c r="F343" s="12"/>
    </row>
    <row r="344" spans="1:6" x14ac:dyDescent="0.25">
      <c r="A344" s="10">
        <v>7699</v>
      </c>
      <c r="B344" s="10" t="s">
        <v>845</v>
      </c>
      <c r="C344" s="13" t="s">
        <v>846</v>
      </c>
      <c r="D344" s="14">
        <v>0.75</v>
      </c>
      <c r="E344" s="19">
        <f t="shared" ca="1" si="5"/>
        <v>42881</v>
      </c>
      <c r="F344" s="12"/>
    </row>
    <row r="345" spans="1:6" x14ac:dyDescent="0.25">
      <c r="A345" s="10">
        <v>77</v>
      </c>
      <c r="B345" s="10" t="s">
        <v>926</v>
      </c>
      <c r="C345" s="13" t="s">
        <v>867</v>
      </c>
      <c r="D345" s="14">
        <v>0.25</v>
      </c>
      <c r="E345" s="19">
        <f t="shared" ca="1" si="5"/>
        <v>42881</v>
      </c>
      <c r="F345" s="12"/>
    </row>
    <row r="346" spans="1:6" x14ac:dyDescent="0.25">
      <c r="A346" s="10">
        <v>771</v>
      </c>
      <c r="B346" s="10" t="s">
        <v>290</v>
      </c>
      <c r="C346" s="13" t="s">
        <v>291</v>
      </c>
      <c r="D346" s="14">
        <v>1</v>
      </c>
      <c r="E346" s="19">
        <f t="shared" ca="1" si="5"/>
        <v>42881</v>
      </c>
      <c r="F346" s="12"/>
    </row>
    <row r="347" spans="1:6" x14ac:dyDescent="0.25">
      <c r="A347" s="10">
        <v>775</v>
      </c>
      <c r="B347" s="10" t="s">
        <v>1031</v>
      </c>
      <c r="C347" s="13" t="s">
        <v>1032</v>
      </c>
      <c r="D347" s="14">
        <v>0.75</v>
      </c>
      <c r="E347" s="19">
        <f t="shared" ca="1" si="5"/>
        <v>42881</v>
      </c>
      <c r="F347" s="12"/>
    </row>
    <row r="348" spans="1:6" x14ac:dyDescent="0.25">
      <c r="A348" s="10">
        <v>778</v>
      </c>
      <c r="B348" s="10" t="s">
        <v>1033</v>
      </c>
      <c r="C348" s="13" t="s">
        <v>1034</v>
      </c>
      <c r="D348" s="14">
        <v>0.75</v>
      </c>
      <c r="E348" s="19">
        <f t="shared" ca="1" si="5"/>
        <v>42881</v>
      </c>
      <c r="F348" s="12"/>
    </row>
    <row r="349" spans="1:6" x14ac:dyDescent="0.25">
      <c r="A349" s="10">
        <v>779</v>
      </c>
      <c r="B349" s="10" t="s">
        <v>292</v>
      </c>
      <c r="C349" s="13" t="s">
        <v>293</v>
      </c>
      <c r="D349" s="14">
        <v>0.5</v>
      </c>
      <c r="E349" s="19">
        <f t="shared" ca="1" si="5"/>
        <v>42881</v>
      </c>
      <c r="F349" s="12"/>
    </row>
    <row r="350" spans="1:6" x14ac:dyDescent="0.25">
      <c r="A350" s="10">
        <v>78</v>
      </c>
      <c r="B350" s="10" t="s">
        <v>62</v>
      </c>
      <c r="C350" s="13" t="s">
        <v>63</v>
      </c>
      <c r="D350" s="14">
        <v>0.5</v>
      </c>
      <c r="E350" s="19">
        <f t="shared" ca="1" si="5"/>
        <v>42881</v>
      </c>
      <c r="F350" s="12"/>
    </row>
    <row r="351" spans="1:6" x14ac:dyDescent="0.25">
      <c r="A351" s="10">
        <v>792</v>
      </c>
      <c r="B351" s="10" t="s">
        <v>294</v>
      </c>
      <c r="C351" s="13" t="s">
        <v>295</v>
      </c>
      <c r="D351" s="14">
        <v>0.25</v>
      </c>
      <c r="E351" s="19">
        <f t="shared" ca="1" si="5"/>
        <v>42881</v>
      </c>
      <c r="F351" s="12"/>
    </row>
    <row r="352" spans="1:6" x14ac:dyDescent="0.25">
      <c r="A352" s="10">
        <v>794</v>
      </c>
      <c r="B352" s="10" t="s">
        <v>296</v>
      </c>
      <c r="C352" s="13" t="s">
        <v>297</v>
      </c>
      <c r="D352" s="14">
        <v>0.25</v>
      </c>
      <c r="E352" s="19">
        <f t="shared" ca="1" si="5"/>
        <v>42881</v>
      </c>
      <c r="F352" s="12"/>
    </row>
    <row r="353" spans="1:6" x14ac:dyDescent="0.25">
      <c r="A353" s="10">
        <v>797</v>
      </c>
      <c r="B353" s="10" t="s">
        <v>298</v>
      </c>
      <c r="C353" s="13" t="s">
        <v>299</v>
      </c>
      <c r="D353" s="14">
        <v>0.25</v>
      </c>
      <c r="E353" s="19">
        <f t="shared" ca="1" si="5"/>
        <v>42881</v>
      </c>
      <c r="F353" s="12"/>
    </row>
    <row r="354" spans="1:6" x14ac:dyDescent="0.25">
      <c r="A354" s="10">
        <v>802</v>
      </c>
      <c r="B354" s="10" t="s">
        <v>950</v>
      </c>
      <c r="C354" s="13" t="s">
        <v>891</v>
      </c>
      <c r="D354" s="14">
        <v>0.75</v>
      </c>
      <c r="E354" s="19">
        <f t="shared" ca="1" si="5"/>
        <v>42881</v>
      </c>
      <c r="F354" s="12"/>
    </row>
    <row r="355" spans="1:6" x14ac:dyDescent="0.25">
      <c r="A355" s="10">
        <v>805</v>
      </c>
      <c r="B355" s="10" t="s">
        <v>301</v>
      </c>
      <c r="C355" s="13" t="s">
        <v>302</v>
      </c>
      <c r="D355" s="14">
        <v>0.5</v>
      </c>
      <c r="E355" s="19">
        <f t="shared" ca="1" si="5"/>
        <v>42881</v>
      </c>
      <c r="F355" s="12"/>
    </row>
    <row r="356" spans="1:6" x14ac:dyDescent="0.25">
      <c r="A356" s="10">
        <v>841</v>
      </c>
      <c r="B356" s="10" t="s">
        <v>303</v>
      </c>
      <c r="C356" s="13" t="s">
        <v>304</v>
      </c>
      <c r="D356" s="14">
        <v>0.5</v>
      </c>
      <c r="E356" s="19">
        <f t="shared" ca="1" si="5"/>
        <v>42881</v>
      </c>
      <c r="F356" s="12"/>
    </row>
    <row r="357" spans="1:6" x14ac:dyDescent="0.25">
      <c r="A357" s="10">
        <v>842</v>
      </c>
      <c r="B357" s="10" t="s">
        <v>305</v>
      </c>
      <c r="C357" s="13" t="s">
        <v>306</v>
      </c>
      <c r="D357" s="14">
        <v>0.25</v>
      </c>
      <c r="E357" s="19">
        <f t="shared" ca="1" si="5"/>
        <v>42881</v>
      </c>
      <c r="F357" s="12"/>
    </row>
    <row r="358" spans="1:6" x14ac:dyDescent="0.25">
      <c r="A358" s="10">
        <v>843</v>
      </c>
      <c r="B358" s="10" t="s">
        <v>307</v>
      </c>
      <c r="C358" s="13" t="s">
        <v>308</v>
      </c>
      <c r="D358" s="14">
        <v>0.75</v>
      </c>
      <c r="E358" s="19">
        <f t="shared" ca="1" si="5"/>
        <v>42881</v>
      </c>
      <c r="F358" s="12"/>
    </row>
    <row r="359" spans="1:6" x14ac:dyDescent="0.25">
      <c r="A359" s="10">
        <v>845</v>
      </c>
      <c r="B359" s="10" t="s">
        <v>309</v>
      </c>
      <c r="C359" s="13" t="s">
        <v>310</v>
      </c>
      <c r="D359" s="14">
        <v>0.5</v>
      </c>
      <c r="E359" s="19">
        <f t="shared" ca="1" si="5"/>
        <v>42881</v>
      </c>
      <c r="F359" s="12"/>
    </row>
    <row r="360" spans="1:6" x14ac:dyDescent="0.25">
      <c r="A360" s="10">
        <v>850</v>
      </c>
      <c r="B360" s="10" t="s">
        <v>311</v>
      </c>
      <c r="C360" s="13" t="s">
        <v>312</v>
      </c>
      <c r="D360" s="14">
        <v>0.5</v>
      </c>
      <c r="E360" s="19">
        <f t="shared" ca="1" si="5"/>
        <v>42881</v>
      </c>
      <c r="F360" s="12"/>
    </row>
    <row r="361" spans="1:6" x14ac:dyDescent="0.25">
      <c r="A361" s="10">
        <v>851</v>
      </c>
      <c r="B361" s="10" t="s">
        <v>313</v>
      </c>
      <c r="C361" s="13" t="s">
        <v>314</v>
      </c>
      <c r="D361" s="14">
        <v>1</v>
      </c>
      <c r="E361" s="19">
        <f t="shared" ca="1" si="5"/>
        <v>42881</v>
      </c>
      <c r="F361" s="12"/>
    </row>
    <row r="362" spans="1:6" x14ac:dyDescent="0.25">
      <c r="A362" s="10">
        <v>855</v>
      </c>
      <c r="B362" s="10" t="s">
        <v>315</v>
      </c>
      <c r="C362" s="13" t="s">
        <v>316</v>
      </c>
      <c r="D362" s="14">
        <v>0.25</v>
      </c>
      <c r="E362" s="19">
        <f t="shared" ca="1" si="5"/>
        <v>42881</v>
      </c>
      <c r="F362" s="12"/>
    </row>
    <row r="363" spans="1:6" x14ac:dyDescent="0.25">
      <c r="A363" s="10">
        <v>857</v>
      </c>
      <c r="B363" s="10" t="s">
        <v>317</v>
      </c>
      <c r="C363" s="13" t="s">
        <v>318</v>
      </c>
      <c r="D363" s="14">
        <v>0.5</v>
      </c>
      <c r="E363" s="19">
        <f t="shared" ca="1" si="5"/>
        <v>42881</v>
      </c>
      <c r="F363" s="12"/>
    </row>
    <row r="364" spans="1:6" x14ac:dyDescent="0.25">
      <c r="A364" s="10">
        <v>858</v>
      </c>
      <c r="B364" s="10" t="s">
        <v>319</v>
      </c>
      <c r="C364" s="13" t="s">
        <v>320</v>
      </c>
      <c r="D364" s="14">
        <v>0.25</v>
      </c>
      <c r="E364" s="19">
        <f t="shared" ca="1" si="5"/>
        <v>42881</v>
      </c>
      <c r="F364" s="12"/>
    </row>
    <row r="365" spans="1:6" x14ac:dyDescent="0.25">
      <c r="A365" s="10">
        <v>86</v>
      </c>
      <c r="B365" s="10" t="s">
        <v>64</v>
      </c>
      <c r="C365" s="13" t="s">
        <v>65</v>
      </c>
      <c r="D365" s="14">
        <v>1</v>
      </c>
      <c r="E365" s="19">
        <f t="shared" ca="1" si="5"/>
        <v>42881</v>
      </c>
      <c r="F365" s="12"/>
    </row>
    <row r="366" spans="1:6" x14ac:dyDescent="0.25">
      <c r="A366" s="10">
        <v>860</v>
      </c>
      <c r="B366" s="10" t="s">
        <v>321</v>
      </c>
      <c r="C366" s="13" t="s">
        <v>322</v>
      </c>
      <c r="D366" s="14">
        <v>0.75</v>
      </c>
      <c r="E366" s="19">
        <f t="shared" ca="1" si="5"/>
        <v>42881</v>
      </c>
      <c r="F366" s="12"/>
    </row>
    <row r="367" spans="1:6" x14ac:dyDescent="0.25">
      <c r="A367" s="10">
        <v>862</v>
      </c>
      <c r="B367" s="10" t="s">
        <v>323</v>
      </c>
      <c r="C367" s="13" t="s">
        <v>324</v>
      </c>
      <c r="D367" s="14">
        <v>0.5</v>
      </c>
      <c r="E367" s="19">
        <f t="shared" ca="1" si="5"/>
        <v>42881</v>
      </c>
      <c r="F367" s="12"/>
    </row>
    <row r="368" spans="1:6" x14ac:dyDescent="0.25">
      <c r="A368" s="10">
        <v>866</v>
      </c>
      <c r="B368" s="10" t="s">
        <v>325</v>
      </c>
      <c r="C368" s="13" t="s">
        <v>326</v>
      </c>
      <c r="D368" s="14">
        <v>0.75</v>
      </c>
      <c r="E368" s="19">
        <f t="shared" ca="1" si="5"/>
        <v>42881</v>
      </c>
      <c r="F368" s="12"/>
    </row>
    <row r="369" spans="1:6" x14ac:dyDescent="0.25">
      <c r="A369" s="10">
        <v>867</v>
      </c>
      <c r="B369" s="10" t="s">
        <v>327</v>
      </c>
      <c r="C369" s="13" t="s">
        <v>328</v>
      </c>
      <c r="D369" s="14">
        <v>0.75</v>
      </c>
      <c r="E369" s="19">
        <f t="shared" ca="1" si="5"/>
        <v>42881</v>
      </c>
      <c r="F369" s="12"/>
    </row>
    <row r="370" spans="1:6" x14ac:dyDescent="0.25">
      <c r="A370" s="10">
        <v>869</v>
      </c>
      <c r="B370" s="10" t="s">
        <v>329</v>
      </c>
      <c r="C370" s="13" t="s">
        <v>330</v>
      </c>
      <c r="D370" s="14">
        <v>0.25</v>
      </c>
      <c r="E370" s="19">
        <f t="shared" ca="1" si="5"/>
        <v>42881</v>
      </c>
      <c r="F370" s="12"/>
    </row>
    <row r="371" spans="1:6" x14ac:dyDescent="0.25">
      <c r="A371" s="10">
        <v>873</v>
      </c>
      <c r="B371" s="10" t="s">
        <v>332</v>
      </c>
      <c r="C371" s="13" t="s">
        <v>333</v>
      </c>
      <c r="D371" s="14">
        <v>0.75</v>
      </c>
      <c r="E371" s="19">
        <f t="shared" ca="1" si="5"/>
        <v>42881</v>
      </c>
      <c r="F371" s="12"/>
    </row>
    <row r="372" spans="1:6" x14ac:dyDescent="0.25">
      <c r="A372" s="10">
        <v>874</v>
      </c>
      <c r="B372" s="10" t="s">
        <v>334</v>
      </c>
      <c r="C372" s="13" t="s">
        <v>335</v>
      </c>
      <c r="D372" s="14">
        <v>0.5</v>
      </c>
      <c r="E372" s="19">
        <f t="shared" ca="1" si="5"/>
        <v>42881</v>
      </c>
      <c r="F372" s="12"/>
    </row>
    <row r="373" spans="1:6" x14ac:dyDescent="0.25">
      <c r="A373" s="10">
        <v>877</v>
      </c>
      <c r="B373" s="10" t="s">
        <v>336</v>
      </c>
      <c r="C373" s="13" t="s">
        <v>337</v>
      </c>
      <c r="D373" s="14">
        <v>0.5</v>
      </c>
      <c r="E373" s="19">
        <f t="shared" ca="1" si="5"/>
        <v>42881</v>
      </c>
      <c r="F373" s="12"/>
    </row>
    <row r="374" spans="1:6" x14ac:dyDescent="0.25">
      <c r="A374" s="10">
        <v>880</v>
      </c>
      <c r="B374" s="10" t="s">
        <v>338</v>
      </c>
      <c r="C374" s="13" t="s">
        <v>339</v>
      </c>
      <c r="D374" s="14">
        <v>0.25</v>
      </c>
      <c r="E374" s="19">
        <f t="shared" ca="1" si="5"/>
        <v>42881</v>
      </c>
      <c r="F374" s="12"/>
    </row>
    <row r="375" spans="1:6" x14ac:dyDescent="0.25">
      <c r="A375" s="10">
        <v>882</v>
      </c>
      <c r="B375" s="10" t="s">
        <v>340</v>
      </c>
      <c r="C375" s="13" t="s">
        <v>341</v>
      </c>
      <c r="D375" s="14">
        <v>0.25</v>
      </c>
      <c r="E375" s="19">
        <f t="shared" ca="1" si="5"/>
        <v>42881</v>
      </c>
      <c r="F375" s="12"/>
    </row>
    <row r="376" spans="1:6" x14ac:dyDescent="0.25">
      <c r="A376" s="10">
        <v>883</v>
      </c>
      <c r="B376" s="10" t="s">
        <v>342</v>
      </c>
      <c r="C376" s="13" t="s">
        <v>343</v>
      </c>
      <c r="D376" s="14">
        <v>0.5</v>
      </c>
      <c r="E376" s="19">
        <f t="shared" ca="1" si="5"/>
        <v>42881</v>
      </c>
      <c r="F376" s="12"/>
    </row>
    <row r="377" spans="1:6" x14ac:dyDescent="0.25">
      <c r="A377" s="10">
        <v>884</v>
      </c>
      <c r="B377" s="10" t="s">
        <v>344</v>
      </c>
      <c r="C377" s="13" t="s">
        <v>345</v>
      </c>
      <c r="D377" s="14">
        <v>0.75</v>
      </c>
      <c r="E377" s="19">
        <f t="shared" ca="1" si="5"/>
        <v>42881</v>
      </c>
      <c r="F377" s="12"/>
    </row>
    <row r="378" spans="1:6" x14ac:dyDescent="0.25">
      <c r="A378" s="10">
        <v>885</v>
      </c>
      <c r="B378" s="10" t="s">
        <v>346</v>
      </c>
      <c r="C378" s="13" t="s">
        <v>347</v>
      </c>
      <c r="D378" s="14">
        <v>1</v>
      </c>
      <c r="E378" s="19">
        <f t="shared" ca="1" si="5"/>
        <v>42881</v>
      </c>
      <c r="F378" s="12"/>
    </row>
    <row r="379" spans="1:6" x14ac:dyDescent="0.25">
      <c r="A379" s="10">
        <v>886</v>
      </c>
      <c r="B379" s="10" t="s">
        <v>348</v>
      </c>
      <c r="C379" s="13" t="s">
        <v>349</v>
      </c>
      <c r="D379" s="14">
        <v>0.75</v>
      </c>
      <c r="E379" s="19">
        <f t="shared" ca="1" si="5"/>
        <v>42881</v>
      </c>
      <c r="F379" s="12"/>
    </row>
    <row r="380" spans="1:6" x14ac:dyDescent="0.25">
      <c r="A380" s="10">
        <v>887</v>
      </c>
      <c r="B380" s="10" t="s">
        <v>350</v>
      </c>
      <c r="C380" s="13" t="s">
        <v>351</v>
      </c>
      <c r="D380" s="14">
        <v>0.5</v>
      </c>
      <c r="E380" s="19">
        <f t="shared" ca="1" si="5"/>
        <v>42881</v>
      </c>
      <c r="F380" s="12"/>
    </row>
    <row r="381" spans="1:6" x14ac:dyDescent="0.25">
      <c r="A381" s="10">
        <v>890</v>
      </c>
      <c r="B381" s="10" t="s">
        <v>352</v>
      </c>
      <c r="C381" s="13" t="s">
        <v>353</v>
      </c>
      <c r="D381" s="14">
        <v>0.25</v>
      </c>
      <c r="E381" s="19">
        <f t="shared" ca="1" si="5"/>
        <v>42881</v>
      </c>
      <c r="F381" s="12"/>
    </row>
    <row r="382" spans="1:6" x14ac:dyDescent="0.25">
      <c r="A382" s="10">
        <v>892</v>
      </c>
      <c r="B382" s="10" t="s">
        <v>354</v>
      </c>
      <c r="C382" s="13" t="s">
        <v>355</v>
      </c>
      <c r="D382" s="14">
        <v>1.25</v>
      </c>
      <c r="E382" s="19">
        <f t="shared" ca="1" si="5"/>
        <v>42881</v>
      </c>
      <c r="F382" s="12"/>
    </row>
    <row r="383" spans="1:6" x14ac:dyDescent="0.25">
      <c r="A383" s="10">
        <v>893</v>
      </c>
      <c r="B383" s="10" t="s">
        <v>356</v>
      </c>
      <c r="C383" s="13" t="s">
        <v>357</v>
      </c>
      <c r="D383" s="14">
        <v>0.75</v>
      </c>
      <c r="E383" s="19">
        <f t="shared" ca="1" si="5"/>
        <v>42881</v>
      </c>
      <c r="F383" s="12"/>
    </row>
    <row r="384" spans="1:6" x14ac:dyDescent="0.25">
      <c r="A384" s="10">
        <v>899</v>
      </c>
      <c r="B384" s="10" t="s">
        <v>358</v>
      </c>
      <c r="C384" s="13" t="s">
        <v>359</v>
      </c>
      <c r="D384" s="14">
        <v>0.25</v>
      </c>
      <c r="E384" s="19">
        <f t="shared" ca="1" si="5"/>
        <v>42881</v>
      </c>
      <c r="F384" s="12"/>
    </row>
    <row r="385" spans="1:6" x14ac:dyDescent="0.25">
      <c r="A385" s="10">
        <v>9</v>
      </c>
      <c r="B385" s="10" t="s">
        <v>11</v>
      </c>
      <c r="C385" s="13" t="s">
        <v>12</v>
      </c>
      <c r="D385" s="14">
        <v>0.5</v>
      </c>
      <c r="E385" s="19">
        <f t="shared" ca="1" si="5"/>
        <v>42881</v>
      </c>
      <c r="F385" s="12"/>
    </row>
    <row r="386" spans="1:6" x14ac:dyDescent="0.25">
      <c r="A386" s="10">
        <v>900</v>
      </c>
      <c r="B386" s="10" t="s">
        <v>360</v>
      </c>
      <c r="C386" s="13" t="s">
        <v>361</v>
      </c>
      <c r="D386" s="14">
        <v>0.25</v>
      </c>
      <c r="E386" s="19">
        <f t="shared" ca="1" si="5"/>
        <v>42881</v>
      </c>
      <c r="F386" s="12"/>
    </row>
    <row r="387" spans="1:6" x14ac:dyDescent="0.25">
      <c r="A387" s="10">
        <v>901</v>
      </c>
      <c r="B387" s="10" t="s">
        <v>362</v>
      </c>
      <c r="C387" s="13" t="s">
        <v>363</v>
      </c>
      <c r="D387" s="14">
        <v>0.75</v>
      </c>
      <c r="E387" s="19">
        <f t="shared" ref="E387:E450" ca="1" si="6">TODAY()</f>
        <v>42881</v>
      </c>
      <c r="F387" s="12"/>
    </row>
    <row r="388" spans="1:6" x14ac:dyDescent="0.25">
      <c r="A388" s="10">
        <v>902</v>
      </c>
      <c r="B388" s="10" t="s">
        <v>364</v>
      </c>
      <c r="C388" s="13" t="s">
        <v>365</v>
      </c>
      <c r="D388" s="14">
        <v>0.75</v>
      </c>
      <c r="E388" s="19">
        <f t="shared" ca="1" si="6"/>
        <v>42881</v>
      </c>
      <c r="F388" s="12"/>
    </row>
    <row r="389" spans="1:6" x14ac:dyDescent="0.25">
      <c r="A389" s="10">
        <v>908</v>
      </c>
      <c r="B389" s="10" t="s">
        <v>367</v>
      </c>
      <c r="C389" s="13" t="s">
        <v>368</v>
      </c>
      <c r="D389" s="14">
        <v>0.25</v>
      </c>
      <c r="E389" s="19">
        <f t="shared" ca="1" si="6"/>
        <v>42881</v>
      </c>
      <c r="F389" s="12"/>
    </row>
    <row r="390" spans="1:6" x14ac:dyDescent="0.25">
      <c r="A390" s="10">
        <v>911</v>
      </c>
      <c r="B390" s="10" t="s">
        <v>370</v>
      </c>
      <c r="C390" s="13" t="s">
        <v>371</v>
      </c>
      <c r="D390" s="14">
        <v>0.5</v>
      </c>
      <c r="E390" s="19">
        <f t="shared" ca="1" si="6"/>
        <v>42881</v>
      </c>
      <c r="F390" s="12"/>
    </row>
    <row r="391" spans="1:6" x14ac:dyDescent="0.25">
      <c r="A391" s="10">
        <v>912</v>
      </c>
      <c r="B391" s="10" t="s">
        <v>372</v>
      </c>
      <c r="C391" s="13" t="s">
        <v>373</v>
      </c>
      <c r="D391" s="14">
        <v>0.25</v>
      </c>
      <c r="E391" s="19">
        <f t="shared" ca="1" si="6"/>
        <v>42881</v>
      </c>
      <c r="F391" s="12"/>
    </row>
    <row r="392" spans="1:6" x14ac:dyDescent="0.25">
      <c r="A392" s="10">
        <v>913</v>
      </c>
      <c r="B392" s="10" t="s">
        <v>374</v>
      </c>
      <c r="C392" s="13" t="s">
        <v>375</v>
      </c>
      <c r="D392" s="14">
        <v>0.5</v>
      </c>
      <c r="E392" s="19">
        <f t="shared" ca="1" si="6"/>
        <v>42881</v>
      </c>
      <c r="F392" s="12"/>
    </row>
    <row r="393" spans="1:6" x14ac:dyDescent="0.25">
      <c r="A393" s="10">
        <v>915</v>
      </c>
      <c r="B393" s="10" t="s">
        <v>376</v>
      </c>
      <c r="C393" s="13" t="s">
        <v>377</v>
      </c>
      <c r="D393" s="14">
        <v>0.75</v>
      </c>
      <c r="E393" s="19">
        <f t="shared" ca="1" si="6"/>
        <v>42881</v>
      </c>
      <c r="F393" s="12"/>
    </row>
    <row r="394" spans="1:6" x14ac:dyDescent="0.25">
      <c r="A394" s="10">
        <v>918</v>
      </c>
      <c r="B394" s="10" t="s">
        <v>379</v>
      </c>
      <c r="C394" s="13" t="s">
        <v>380</v>
      </c>
      <c r="D394" s="14">
        <v>0.5</v>
      </c>
      <c r="E394" s="19">
        <f t="shared" ca="1" si="6"/>
        <v>42881</v>
      </c>
      <c r="F394" s="12"/>
    </row>
    <row r="395" spans="1:6" x14ac:dyDescent="0.25">
      <c r="A395" s="10">
        <v>919</v>
      </c>
      <c r="B395" s="10" t="s">
        <v>381</v>
      </c>
      <c r="C395" s="13" t="s">
        <v>382</v>
      </c>
      <c r="D395" s="14">
        <v>1</v>
      </c>
      <c r="E395" s="19">
        <f t="shared" ca="1" si="6"/>
        <v>42881</v>
      </c>
      <c r="F395" s="12"/>
    </row>
    <row r="396" spans="1:6" x14ac:dyDescent="0.25">
      <c r="A396" s="10">
        <v>920</v>
      </c>
      <c r="B396" s="10" t="s">
        <v>383</v>
      </c>
      <c r="C396" s="13" t="s">
        <v>384</v>
      </c>
      <c r="D396" s="14">
        <v>1</v>
      </c>
      <c r="E396" s="19">
        <f t="shared" ca="1" si="6"/>
        <v>42881</v>
      </c>
      <c r="F396" s="12"/>
    </row>
    <row r="397" spans="1:6" x14ac:dyDescent="0.25">
      <c r="A397" s="10">
        <v>924</v>
      </c>
      <c r="B397" s="10" t="s">
        <v>385</v>
      </c>
      <c r="C397" s="13" t="s">
        <v>386</v>
      </c>
      <c r="D397" s="14">
        <v>0.75</v>
      </c>
      <c r="E397" s="19">
        <f t="shared" ca="1" si="6"/>
        <v>42881</v>
      </c>
      <c r="F397" s="12"/>
    </row>
    <row r="398" spans="1:6" x14ac:dyDescent="0.25">
      <c r="A398" s="10">
        <v>929</v>
      </c>
      <c r="B398" s="10" t="s">
        <v>387</v>
      </c>
      <c r="C398" s="13" t="s">
        <v>388</v>
      </c>
      <c r="D398" s="14">
        <v>1.25</v>
      </c>
      <c r="E398" s="19">
        <f t="shared" ca="1" si="6"/>
        <v>42881</v>
      </c>
      <c r="F398" s="12"/>
    </row>
    <row r="399" spans="1:6" x14ac:dyDescent="0.25">
      <c r="A399" s="10">
        <v>930</v>
      </c>
      <c r="B399" s="10" t="s">
        <v>389</v>
      </c>
      <c r="C399" s="13" t="s">
        <v>390</v>
      </c>
      <c r="D399" s="14">
        <v>0.75</v>
      </c>
      <c r="E399" s="19">
        <f t="shared" ca="1" si="6"/>
        <v>42881</v>
      </c>
      <c r="F399" s="12"/>
    </row>
    <row r="400" spans="1:6" x14ac:dyDescent="0.25">
      <c r="A400" s="10">
        <v>931</v>
      </c>
      <c r="B400" s="10" t="s">
        <v>391</v>
      </c>
      <c r="C400" s="13" t="s">
        <v>392</v>
      </c>
      <c r="D400" s="14">
        <v>0.25</v>
      </c>
      <c r="E400" s="19">
        <f t="shared" ca="1" si="6"/>
        <v>42881</v>
      </c>
      <c r="F400" s="12"/>
    </row>
    <row r="401" spans="1:6" x14ac:dyDescent="0.25">
      <c r="A401" s="10">
        <v>933</v>
      </c>
      <c r="B401" s="10" t="s">
        <v>393</v>
      </c>
      <c r="C401" s="13" t="s">
        <v>394</v>
      </c>
      <c r="D401" s="14">
        <v>1</v>
      </c>
      <c r="E401" s="19">
        <f t="shared" ca="1" si="6"/>
        <v>42881</v>
      </c>
      <c r="F401" s="12"/>
    </row>
    <row r="402" spans="1:6" x14ac:dyDescent="0.25">
      <c r="A402" s="10">
        <v>934</v>
      </c>
      <c r="B402" s="10" t="s">
        <v>395</v>
      </c>
      <c r="C402" s="13" t="s">
        <v>396</v>
      </c>
      <c r="D402" s="14">
        <v>0.25</v>
      </c>
      <c r="E402" s="19">
        <f t="shared" ca="1" si="6"/>
        <v>42881</v>
      </c>
      <c r="F402" s="12"/>
    </row>
    <row r="403" spans="1:6" x14ac:dyDescent="0.25">
      <c r="A403" s="10">
        <v>938</v>
      </c>
      <c r="B403" s="10" t="s">
        <v>397</v>
      </c>
      <c r="C403" s="13" t="s">
        <v>398</v>
      </c>
      <c r="D403" s="14">
        <v>0.75</v>
      </c>
      <c r="E403" s="19">
        <f t="shared" ca="1" si="6"/>
        <v>42881</v>
      </c>
      <c r="F403" s="12"/>
    </row>
    <row r="404" spans="1:6" x14ac:dyDescent="0.25">
      <c r="A404" s="10">
        <v>939</v>
      </c>
      <c r="B404" s="10" t="s">
        <v>399</v>
      </c>
      <c r="C404" s="13" t="s">
        <v>400</v>
      </c>
      <c r="D404" s="14">
        <v>0.25</v>
      </c>
      <c r="E404" s="19">
        <f t="shared" ca="1" si="6"/>
        <v>42881</v>
      </c>
      <c r="F404" s="12"/>
    </row>
    <row r="405" spans="1:6" x14ac:dyDescent="0.25">
      <c r="A405" s="10">
        <v>940</v>
      </c>
      <c r="B405" s="10" t="s">
        <v>401</v>
      </c>
      <c r="C405" s="13" t="s">
        <v>402</v>
      </c>
      <c r="D405" s="14">
        <v>1</v>
      </c>
      <c r="E405" s="19">
        <f t="shared" ca="1" si="6"/>
        <v>42881</v>
      </c>
      <c r="F405" s="12"/>
    </row>
    <row r="406" spans="1:6" x14ac:dyDescent="0.25">
      <c r="A406" s="10">
        <v>941</v>
      </c>
      <c r="B406" s="10" t="s">
        <v>403</v>
      </c>
      <c r="C406" s="13" t="s">
        <v>404</v>
      </c>
      <c r="D406" s="14">
        <v>0.25</v>
      </c>
      <c r="E406" s="19">
        <f t="shared" ca="1" si="6"/>
        <v>42881</v>
      </c>
      <c r="F406" s="12"/>
    </row>
    <row r="407" spans="1:6" x14ac:dyDescent="0.25">
      <c r="A407" s="10">
        <v>942</v>
      </c>
      <c r="B407" s="10" t="s">
        <v>405</v>
      </c>
      <c r="C407" s="13" t="s">
        <v>406</v>
      </c>
      <c r="D407" s="14">
        <v>0.75</v>
      </c>
      <c r="E407" s="19">
        <f t="shared" ca="1" si="6"/>
        <v>42881</v>
      </c>
      <c r="F407" s="12"/>
    </row>
    <row r="408" spans="1:6" x14ac:dyDescent="0.25">
      <c r="A408" s="10">
        <v>943</v>
      </c>
      <c r="B408" s="10" t="s">
        <v>407</v>
      </c>
      <c r="C408" s="13" t="s">
        <v>408</v>
      </c>
      <c r="D408" s="14">
        <v>0.25</v>
      </c>
      <c r="E408" s="19">
        <f t="shared" ca="1" si="6"/>
        <v>42881</v>
      </c>
      <c r="F408" s="12"/>
    </row>
    <row r="409" spans="1:6" x14ac:dyDescent="0.25">
      <c r="A409" s="10">
        <v>950</v>
      </c>
      <c r="B409" s="10" t="s">
        <v>409</v>
      </c>
      <c r="C409" s="13" t="s">
        <v>410</v>
      </c>
      <c r="D409" s="14">
        <v>0.25</v>
      </c>
      <c r="E409" s="19">
        <f t="shared" ca="1" si="6"/>
        <v>42881</v>
      </c>
      <c r="F409" s="12"/>
    </row>
    <row r="410" spans="1:6" x14ac:dyDescent="0.25">
      <c r="A410" s="10">
        <v>958</v>
      </c>
      <c r="B410" s="10" t="s">
        <v>411</v>
      </c>
      <c r="C410" s="13" t="s">
        <v>412</v>
      </c>
      <c r="D410" s="14">
        <v>0.75</v>
      </c>
      <c r="E410" s="19">
        <f t="shared" ca="1" si="6"/>
        <v>42881</v>
      </c>
      <c r="F410" s="12"/>
    </row>
    <row r="411" spans="1:6" x14ac:dyDescent="0.25">
      <c r="A411" s="10">
        <v>96</v>
      </c>
      <c r="B411" s="10" t="s">
        <v>66</v>
      </c>
      <c r="C411" s="13" t="s">
        <v>67</v>
      </c>
      <c r="D411" s="14">
        <v>0.25</v>
      </c>
      <c r="E411" s="19">
        <f t="shared" ca="1" si="6"/>
        <v>42881</v>
      </c>
      <c r="F411" s="12"/>
    </row>
    <row r="412" spans="1:6" x14ac:dyDescent="0.25">
      <c r="A412" s="10">
        <v>962</v>
      </c>
      <c r="B412" s="10" t="s">
        <v>413</v>
      </c>
      <c r="C412" s="13" t="s">
        <v>414</v>
      </c>
      <c r="D412" s="14">
        <v>0.25</v>
      </c>
      <c r="E412" s="19">
        <f t="shared" ca="1" si="6"/>
        <v>42881</v>
      </c>
      <c r="F412" s="12"/>
    </row>
    <row r="413" spans="1:6" x14ac:dyDescent="0.25">
      <c r="A413" s="10">
        <v>963</v>
      </c>
      <c r="B413" s="10" t="s">
        <v>415</v>
      </c>
      <c r="C413" s="13" t="s">
        <v>416</v>
      </c>
      <c r="D413" s="14">
        <v>0.75</v>
      </c>
      <c r="E413" s="19">
        <f t="shared" ca="1" si="6"/>
        <v>42881</v>
      </c>
      <c r="F413" s="12"/>
    </row>
    <row r="414" spans="1:6" x14ac:dyDescent="0.25">
      <c r="A414" s="10">
        <v>964</v>
      </c>
      <c r="B414" s="10" t="s">
        <v>417</v>
      </c>
      <c r="C414" s="13" t="s">
        <v>418</v>
      </c>
      <c r="D414" s="14">
        <v>0.75</v>
      </c>
      <c r="E414" s="19">
        <f t="shared" ca="1" si="6"/>
        <v>42881</v>
      </c>
      <c r="F414" s="12"/>
    </row>
    <row r="415" spans="1:6" x14ac:dyDescent="0.25">
      <c r="A415" s="10">
        <v>966</v>
      </c>
      <c r="B415" s="10" t="s">
        <v>419</v>
      </c>
      <c r="C415" s="13" t="s">
        <v>420</v>
      </c>
      <c r="D415" s="14">
        <v>1</v>
      </c>
      <c r="E415" s="19">
        <f t="shared" ca="1" si="6"/>
        <v>42881</v>
      </c>
      <c r="F415" s="12"/>
    </row>
    <row r="416" spans="1:6" x14ac:dyDescent="0.25">
      <c r="A416" s="10">
        <v>967</v>
      </c>
      <c r="B416" s="10" t="s">
        <v>421</v>
      </c>
      <c r="C416" s="13" t="s">
        <v>422</v>
      </c>
      <c r="D416" s="14">
        <v>0.75</v>
      </c>
      <c r="E416" s="19">
        <f t="shared" ca="1" si="6"/>
        <v>42881</v>
      </c>
      <c r="F416" s="12"/>
    </row>
    <row r="417" spans="1:6" x14ac:dyDescent="0.25">
      <c r="A417" s="10">
        <v>968</v>
      </c>
      <c r="B417" s="10" t="s">
        <v>423</v>
      </c>
      <c r="C417" s="13" t="s">
        <v>424</v>
      </c>
      <c r="D417" s="14">
        <v>0.25</v>
      </c>
      <c r="E417" s="19">
        <f t="shared" ca="1" si="6"/>
        <v>42881</v>
      </c>
      <c r="F417" s="12"/>
    </row>
    <row r="418" spans="1:6" x14ac:dyDescent="0.25">
      <c r="A418" s="10">
        <v>969</v>
      </c>
      <c r="B418" s="10" t="s">
        <v>425</v>
      </c>
      <c r="C418" s="13" t="s">
        <v>426</v>
      </c>
      <c r="D418" s="14">
        <v>1</v>
      </c>
      <c r="E418" s="19">
        <f t="shared" ca="1" si="6"/>
        <v>42881</v>
      </c>
      <c r="F418" s="12"/>
    </row>
    <row r="419" spans="1:6" x14ac:dyDescent="0.25">
      <c r="A419" s="10">
        <v>970</v>
      </c>
      <c r="B419" s="10" t="s">
        <v>427</v>
      </c>
      <c r="C419" s="13" t="s">
        <v>428</v>
      </c>
      <c r="D419" s="14">
        <v>1.5</v>
      </c>
      <c r="E419" s="19">
        <f t="shared" ca="1" si="6"/>
        <v>42881</v>
      </c>
      <c r="F419" s="12"/>
    </row>
    <row r="420" spans="1:6" x14ac:dyDescent="0.25">
      <c r="A420" s="10">
        <v>971</v>
      </c>
      <c r="B420" s="10" t="s">
        <v>429</v>
      </c>
      <c r="C420" s="13" t="s">
        <v>430</v>
      </c>
      <c r="D420" s="14">
        <v>0.5</v>
      </c>
      <c r="E420" s="19">
        <f t="shared" ca="1" si="6"/>
        <v>42881</v>
      </c>
      <c r="F420" s="12"/>
    </row>
    <row r="421" spans="1:6" x14ac:dyDescent="0.25">
      <c r="A421" s="10">
        <v>972</v>
      </c>
      <c r="B421" s="10" t="s">
        <v>431</v>
      </c>
      <c r="C421" s="13" t="s">
        <v>432</v>
      </c>
      <c r="D421" s="14">
        <v>2.5</v>
      </c>
      <c r="E421" s="19">
        <f t="shared" ca="1" si="6"/>
        <v>42881</v>
      </c>
      <c r="F421" s="12"/>
    </row>
    <row r="422" spans="1:6" x14ac:dyDescent="0.25">
      <c r="A422" s="10">
        <v>973</v>
      </c>
      <c r="B422" s="10" t="s">
        <v>433</v>
      </c>
      <c r="C422" s="13" t="s">
        <v>434</v>
      </c>
      <c r="D422" s="14">
        <v>0.25</v>
      </c>
      <c r="E422" s="19">
        <f t="shared" ca="1" si="6"/>
        <v>42881</v>
      </c>
      <c r="F422" s="12"/>
    </row>
    <row r="423" spans="1:6" x14ac:dyDescent="0.25">
      <c r="A423" s="10">
        <v>974</v>
      </c>
      <c r="B423" s="10" t="s">
        <v>435</v>
      </c>
      <c r="C423" s="13" t="s">
        <v>436</v>
      </c>
      <c r="D423" s="14">
        <v>0.25</v>
      </c>
      <c r="E423" s="19">
        <f t="shared" ca="1" si="6"/>
        <v>42881</v>
      </c>
      <c r="F423" s="12"/>
    </row>
    <row r="424" spans="1:6" x14ac:dyDescent="0.25">
      <c r="A424" s="10">
        <v>977</v>
      </c>
      <c r="B424" s="10" t="s">
        <v>437</v>
      </c>
      <c r="C424" s="13" t="s">
        <v>438</v>
      </c>
      <c r="D424" s="14">
        <v>0.75</v>
      </c>
      <c r="E424" s="19">
        <f t="shared" ca="1" si="6"/>
        <v>42881</v>
      </c>
      <c r="F424" s="12"/>
    </row>
    <row r="425" spans="1:6" x14ac:dyDescent="0.25">
      <c r="A425" s="10">
        <v>978</v>
      </c>
      <c r="B425" s="10" t="s">
        <v>951</v>
      </c>
      <c r="C425" s="13" t="s">
        <v>892</v>
      </c>
      <c r="D425" s="14">
        <v>0.5</v>
      </c>
      <c r="E425" s="19">
        <f t="shared" ca="1" si="6"/>
        <v>42881</v>
      </c>
      <c r="F425" s="12"/>
    </row>
    <row r="426" spans="1:6" x14ac:dyDescent="0.25">
      <c r="A426" s="10">
        <v>980</v>
      </c>
      <c r="B426" s="10" t="s">
        <v>439</v>
      </c>
      <c r="C426" s="13" t="s">
        <v>440</v>
      </c>
      <c r="D426" s="14">
        <v>0.75</v>
      </c>
      <c r="E426" s="19">
        <f t="shared" ca="1" si="6"/>
        <v>42881</v>
      </c>
      <c r="F426" s="12"/>
    </row>
    <row r="427" spans="1:6" x14ac:dyDescent="0.25">
      <c r="A427" s="10">
        <v>981</v>
      </c>
      <c r="B427" s="10" t="s">
        <v>441</v>
      </c>
      <c r="C427" s="13" t="s">
        <v>442</v>
      </c>
      <c r="D427" s="14">
        <v>0.25</v>
      </c>
      <c r="E427" s="19">
        <f t="shared" ca="1" si="6"/>
        <v>42881</v>
      </c>
      <c r="F427" s="12"/>
    </row>
    <row r="428" spans="1:6" x14ac:dyDescent="0.25">
      <c r="A428" s="10">
        <v>982</v>
      </c>
      <c r="B428" s="10" t="s">
        <v>443</v>
      </c>
      <c r="C428" s="13" t="s">
        <v>444</v>
      </c>
      <c r="D428" s="14">
        <v>0.75</v>
      </c>
      <c r="E428" s="19">
        <f t="shared" ca="1" si="6"/>
        <v>42881</v>
      </c>
      <c r="F428" s="12"/>
    </row>
    <row r="429" spans="1:6" x14ac:dyDescent="0.25">
      <c r="A429" s="10">
        <v>983</v>
      </c>
      <c r="B429" s="10" t="s">
        <v>445</v>
      </c>
      <c r="C429" s="13" t="s">
        <v>446</v>
      </c>
      <c r="D429" s="14">
        <v>0.75</v>
      </c>
      <c r="E429" s="19">
        <f t="shared" ca="1" si="6"/>
        <v>42881</v>
      </c>
      <c r="F429" s="12"/>
    </row>
    <row r="430" spans="1:6" x14ac:dyDescent="0.25">
      <c r="A430" s="11">
        <v>0</v>
      </c>
      <c r="B430" s="11"/>
      <c r="D430" s="20"/>
      <c r="E430" s="19">
        <f t="shared" ca="1" si="6"/>
        <v>42881</v>
      </c>
      <c r="F430" s="21" t="s">
        <v>1035</v>
      </c>
    </row>
    <row r="431" spans="1:6" x14ac:dyDescent="0.25">
      <c r="A431" s="11">
        <v>0</v>
      </c>
      <c r="B431" s="11"/>
      <c r="D431" s="20"/>
      <c r="E431" s="19">
        <f t="shared" ca="1" si="6"/>
        <v>42881</v>
      </c>
      <c r="F431" s="12"/>
    </row>
    <row r="432" spans="1:6" x14ac:dyDescent="0.25">
      <c r="A432" s="11">
        <v>0</v>
      </c>
      <c r="B432" s="11"/>
      <c r="D432" s="20"/>
      <c r="E432" s="19">
        <f t="shared" ca="1" si="6"/>
        <v>42881</v>
      </c>
      <c r="F432" s="12"/>
    </row>
    <row r="433" spans="1:6" x14ac:dyDescent="0.25">
      <c r="A433" s="11">
        <v>0</v>
      </c>
      <c r="B433" s="11"/>
      <c r="D433" s="20"/>
      <c r="E433" s="19">
        <f t="shared" ca="1" si="6"/>
        <v>42881</v>
      </c>
      <c r="F433" s="12"/>
    </row>
    <row r="434" spans="1:6" x14ac:dyDescent="0.25">
      <c r="A434" s="11">
        <v>0</v>
      </c>
      <c r="B434" s="11"/>
      <c r="D434" s="20"/>
      <c r="E434" s="19">
        <f t="shared" ca="1" si="6"/>
        <v>42881</v>
      </c>
      <c r="F434" s="12"/>
    </row>
    <row r="435" spans="1:6" x14ac:dyDescent="0.25">
      <c r="A435" s="11">
        <v>0</v>
      </c>
      <c r="B435" s="11"/>
      <c r="D435" s="20"/>
      <c r="E435" s="19">
        <f t="shared" ca="1" si="6"/>
        <v>42881</v>
      </c>
      <c r="F435" s="12"/>
    </row>
    <row r="436" spans="1:6" x14ac:dyDescent="0.25">
      <c r="A436" s="11">
        <v>0</v>
      </c>
      <c r="B436" s="11"/>
      <c r="D436" s="20"/>
      <c r="E436" s="19">
        <f t="shared" ca="1" si="6"/>
        <v>42881</v>
      </c>
      <c r="F436" s="12"/>
    </row>
    <row r="437" spans="1:6" x14ac:dyDescent="0.25">
      <c r="A437" s="11">
        <v>0</v>
      </c>
      <c r="B437" s="11"/>
      <c r="D437" s="20"/>
      <c r="E437" s="19">
        <f t="shared" ca="1" si="6"/>
        <v>42881</v>
      </c>
      <c r="F437" s="12"/>
    </row>
    <row r="438" spans="1:6" x14ac:dyDescent="0.25">
      <c r="A438" s="11">
        <v>0</v>
      </c>
      <c r="B438" s="11"/>
      <c r="D438" s="20"/>
      <c r="E438" s="19">
        <f t="shared" ca="1" si="6"/>
        <v>42881</v>
      </c>
      <c r="F438" s="12"/>
    </row>
    <row r="439" spans="1:6" x14ac:dyDescent="0.25">
      <c r="A439" s="11">
        <v>0</v>
      </c>
      <c r="B439" s="11"/>
      <c r="D439" s="20"/>
      <c r="E439" s="19">
        <f t="shared" ca="1" si="6"/>
        <v>42881</v>
      </c>
      <c r="F439" s="12"/>
    </row>
    <row r="440" spans="1:6" x14ac:dyDescent="0.25">
      <c r="A440" s="11">
        <v>0</v>
      </c>
      <c r="B440" s="11"/>
      <c r="D440" s="20"/>
      <c r="E440" s="19">
        <f t="shared" ca="1" si="6"/>
        <v>42881</v>
      </c>
      <c r="F440" s="12"/>
    </row>
    <row r="441" spans="1:6" x14ac:dyDescent="0.25">
      <c r="A441" s="11">
        <v>0</v>
      </c>
      <c r="B441" s="11"/>
      <c r="D441" s="20"/>
      <c r="E441" s="19">
        <f t="shared" ca="1" si="6"/>
        <v>42881</v>
      </c>
      <c r="F441" s="12"/>
    </row>
    <row r="442" spans="1:6" x14ac:dyDescent="0.25">
      <c r="A442" s="11">
        <v>0</v>
      </c>
      <c r="B442" s="11"/>
      <c r="D442" s="20"/>
      <c r="E442" s="19">
        <f t="shared" ca="1" si="6"/>
        <v>42881</v>
      </c>
      <c r="F442" s="12"/>
    </row>
    <row r="443" spans="1:6" x14ac:dyDescent="0.25">
      <c r="A443" s="11">
        <v>0</v>
      </c>
      <c r="B443" s="11"/>
      <c r="D443" s="20"/>
      <c r="E443" s="19">
        <f t="shared" ca="1" si="6"/>
        <v>42881</v>
      </c>
      <c r="F443" s="12"/>
    </row>
    <row r="444" spans="1:6" x14ac:dyDescent="0.25">
      <c r="A444" s="11">
        <v>0</v>
      </c>
      <c r="B444" s="11"/>
      <c r="D444" s="20"/>
      <c r="E444" s="19">
        <f t="shared" ca="1" si="6"/>
        <v>42881</v>
      </c>
      <c r="F444" s="12"/>
    </row>
    <row r="445" spans="1:6" x14ac:dyDescent="0.25">
      <c r="A445" s="11">
        <v>0</v>
      </c>
      <c r="B445" s="11"/>
      <c r="D445" s="20"/>
      <c r="E445" s="19">
        <f t="shared" ca="1" si="6"/>
        <v>42881</v>
      </c>
      <c r="F445" s="12"/>
    </row>
    <row r="446" spans="1:6" x14ac:dyDescent="0.25">
      <c r="A446" s="11">
        <v>0</v>
      </c>
      <c r="B446" s="11"/>
      <c r="D446" s="20"/>
      <c r="E446" s="19">
        <f t="shared" ca="1" si="6"/>
        <v>42881</v>
      </c>
      <c r="F446" s="12"/>
    </row>
    <row r="447" spans="1:6" x14ac:dyDescent="0.25">
      <c r="A447" s="11">
        <v>0</v>
      </c>
      <c r="B447" s="11"/>
      <c r="D447" s="20"/>
      <c r="E447" s="19">
        <f t="shared" ca="1" si="6"/>
        <v>42881</v>
      </c>
      <c r="F447" s="12"/>
    </row>
    <row r="448" spans="1:6" x14ac:dyDescent="0.25">
      <c r="A448" s="11">
        <v>0</v>
      </c>
      <c r="B448" s="11"/>
      <c r="D448" s="20"/>
      <c r="E448" s="19">
        <f t="shared" ca="1" si="6"/>
        <v>42881</v>
      </c>
      <c r="F448" s="12"/>
    </row>
    <row r="449" spans="1:6" x14ac:dyDescent="0.25">
      <c r="A449" s="11">
        <v>0</v>
      </c>
      <c r="B449" s="11"/>
      <c r="D449" s="20"/>
      <c r="E449" s="19">
        <f t="shared" ca="1" si="6"/>
        <v>42881</v>
      </c>
      <c r="F449" s="12"/>
    </row>
    <row r="450" spans="1:6" x14ac:dyDescent="0.25">
      <c r="A450" s="11">
        <v>0</v>
      </c>
      <c r="B450" s="11"/>
      <c r="D450" s="20"/>
      <c r="E450" s="19">
        <f t="shared" ca="1" si="6"/>
        <v>42881</v>
      </c>
      <c r="F450" s="12"/>
    </row>
    <row r="451" spans="1:6" x14ac:dyDescent="0.25">
      <c r="A451" s="11">
        <v>0</v>
      </c>
      <c r="B451" s="11"/>
      <c r="D451" s="20"/>
      <c r="E451" s="19">
        <f t="shared" ref="E451:E514" ca="1" si="7">TODAY()</f>
        <v>42881</v>
      </c>
      <c r="F451" s="12"/>
    </row>
    <row r="452" spans="1:6" x14ac:dyDescent="0.25">
      <c r="A452" s="11">
        <v>0</v>
      </c>
      <c r="B452" s="11"/>
      <c r="D452" s="20"/>
      <c r="E452" s="19">
        <f t="shared" ca="1" si="7"/>
        <v>42881</v>
      </c>
      <c r="F452" s="12"/>
    </row>
    <row r="453" spans="1:6" x14ac:dyDescent="0.25">
      <c r="A453" s="11">
        <v>0</v>
      </c>
      <c r="B453" s="11"/>
      <c r="D453" s="20"/>
      <c r="E453" s="19">
        <f t="shared" ca="1" si="7"/>
        <v>42881</v>
      </c>
      <c r="F453" s="12"/>
    </row>
    <row r="454" spans="1:6" x14ac:dyDescent="0.25">
      <c r="A454" s="11">
        <v>0</v>
      </c>
      <c r="B454" s="11"/>
      <c r="D454" s="20"/>
      <c r="E454" s="19">
        <f t="shared" ca="1" si="7"/>
        <v>42881</v>
      </c>
      <c r="F454" s="12"/>
    </row>
    <row r="455" spans="1:6" x14ac:dyDescent="0.25">
      <c r="A455" s="11">
        <v>0</v>
      </c>
      <c r="B455" s="11"/>
      <c r="D455" s="20"/>
      <c r="E455" s="19">
        <f t="shared" ca="1" si="7"/>
        <v>42881</v>
      </c>
      <c r="F455" s="12"/>
    </row>
    <row r="456" spans="1:6" x14ac:dyDescent="0.25">
      <c r="A456" s="11">
        <v>0</v>
      </c>
      <c r="B456" s="11"/>
      <c r="D456" s="20"/>
      <c r="E456" s="19">
        <f t="shared" ca="1" si="7"/>
        <v>42881</v>
      </c>
      <c r="F456" s="12"/>
    </row>
    <row r="457" spans="1:6" x14ac:dyDescent="0.25">
      <c r="A457" s="11">
        <v>0</v>
      </c>
      <c r="B457" s="11"/>
      <c r="D457" s="20"/>
      <c r="E457" s="19">
        <f t="shared" ca="1" si="7"/>
        <v>42881</v>
      </c>
      <c r="F457" s="12"/>
    </row>
    <row r="458" spans="1:6" x14ac:dyDescent="0.25">
      <c r="A458" s="11">
        <v>0</v>
      </c>
      <c r="B458" s="11"/>
      <c r="D458" s="20"/>
      <c r="E458" s="19">
        <f t="shared" ca="1" si="7"/>
        <v>42881</v>
      </c>
      <c r="F458" s="12"/>
    </row>
    <row r="459" spans="1:6" x14ac:dyDescent="0.25">
      <c r="A459" s="11">
        <v>0</v>
      </c>
      <c r="B459" s="11"/>
      <c r="D459" s="20"/>
      <c r="E459" s="19">
        <f t="shared" ca="1" si="7"/>
        <v>42881</v>
      </c>
      <c r="F459" s="12"/>
    </row>
    <row r="460" spans="1:6" x14ac:dyDescent="0.25">
      <c r="A460" s="11">
        <v>0</v>
      </c>
      <c r="B460" s="11"/>
      <c r="D460" s="20"/>
      <c r="E460" s="19">
        <f t="shared" ca="1" si="7"/>
        <v>42881</v>
      </c>
      <c r="F460" s="12"/>
    </row>
    <row r="461" spans="1:6" x14ac:dyDescent="0.25">
      <c r="A461" s="11">
        <v>0</v>
      </c>
      <c r="B461" s="11"/>
      <c r="D461" s="20"/>
      <c r="E461" s="19">
        <f t="shared" ca="1" si="7"/>
        <v>42881</v>
      </c>
      <c r="F461" s="12"/>
    </row>
    <row r="462" spans="1:6" x14ac:dyDescent="0.25">
      <c r="A462" s="11">
        <v>0</v>
      </c>
      <c r="B462" s="11"/>
      <c r="D462" s="20"/>
      <c r="E462" s="19">
        <f t="shared" ca="1" si="7"/>
        <v>42881</v>
      </c>
      <c r="F462" s="12"/>
    </row>
    <row r="463" spans="1:6" x14ac:dyDescent="0.25">
      <c r="A463" s="11">
        <v>0</v>
      </c>
      <c r="B463" s="11"/>
      <c r="D463" s="20"/>
      <c r="E463" s="19">
        <f t="shared" ca="1" si="7"/>
        <v>42881</v>
      </c>
      <c r="F463" s="12"/>
    </row>
    <row r="464" spans="1:6" x14ac:dyDescent="0.25">
      <c r="A464" s="11">
        <v>0</v>
      </c>
      <c r="B464" s="11"/>
      <c r="D464" s="20"/>
      <c r="E464" s="19">
        <f t="shared" ca="1" si="7"/>
        <v>42881</v>
      </c>
      <c r="F464" s="12"/>
    </row>
    <row r="465" spans="1:6" x14ac:dyDescent="0.25">
      <c r="A465" s="11">
        <v>0</v>
      </c>
      <c r="B465" s="11"/>
      <c r="D465" s="20"/>
      <c r="E465" s="19">
        <f t="shared" ca="1" si="7"/>
        <v>42881</v>
      </c>
      <c r="F465" s="12"/>
    </row>
    <row r="466" spans="1:6" x14ac:dyDescent="0.25">
      <c r="A466" s="11">
        <v>0</v>
      </c>
      <c r="B466" s="11"/>
      <c r="D466" s="20"/>
      <c r="E466" s="19">
        <f t="shared" ca="1" si="7"/>
        <v>42881</v>
      </c>
      <c r="F466" s="12"/>
    </row>
    <row r="467" spans="1:6" x14ac:dyDescent="0.25">
      <c r="A467" s="11">
        <v>0</v>
      </c>
      <c r="B467" s="11"/>
      <c r="D467" s="20"/>
      <c r="E467" s="19">
        <f t="shared" ca="1" si="7"/>
        <v>42881</v>
      </c>
      <c r="F467" s="12"/>
    </row>
    <row r="468" spans="1:6" x14ac:dyDescent="0.25">
      <c r="A468" s="11">
        <v>0</v>
      </c>
      <c r="B468" s="11"/>
      <c r="D468" s="20"/>
      <c r="E468" s="19">
        <f t="shared" ca="1" si="7"/>
        <v>42881</v>
      </c>
      <c r="F468" s="12"/>
    </row>
    <row r="469" spans="1:6" x14ac:dyDescent="0.25">
      <c r="A469" s="11">
        <v>0</v>
      </c>
      <c r="B469" s="11"/>
      <c r="D469" s="20"/>
      <c r="E469" s="19">
        <f t="shared" ca="1" si="7"/>
        <v>42881</v>
      </c>
      <c r="F469" s="12"/>
    </row>
    <row r="470" spans="1:6" x14ac:dyDescent="0.25">
      <c r="A470" s="11">
        <v>0</v>
      </c>
      <c r="B470" s="11"/>
      <c r="D470" s="20"/>
      <c r="E470" s="19">
        <f t="shared" ca="1" si="7"/>
        <v>42881</v>
      </c>
      <c r="F470" s="12"/>
    </row>
    <row r="471" spans="1:6" x14ac:dyDescent="0.25">
      <c r="A471" s="11">
        <v>0</v>
      </c>
      <c r="B471" s="11"/>
      <c r="D471" s="20"/>
      <c r="E471" s="19">
        <f t="shared" ca="1" si="7"/>
        <v>42881</v>
      </c>
      <c r="F471" s="12"/>
    </row>
    <row r="472" spans="1:6" x14ac:dyDescent="0.25">
      <c r="A472" s="11">
        <v>0</v>
      </c>
      <c r="B472" s="11"/>
      <c r="D472" s="20"/>
      <c r="E472" s="19">
        <f t="shared" ca="1" si="7"/>
        <v>42881</v>
      </c>
      <c r="F472" s="12"/>
    </row>
    <row r="473" spans="1:6" x14ac:dyDescent="0.25">
      <c r="A473" s="11">
        <v>0</v>
      </c>
      <c r="B473" s="11"/>
      <c r="D473" s="20"/>
      <c r="E473" s="19">
        <f t="shared" ca="1" si="7"/>
        <v>42881</v>
      </c>
      <c r="F473" s="12"/>
    </row>
    <row r="474" spans="1:6" x14ac:dyDescent="0.25">
      <c r="A474" s="11">
        <v>0</v>
      </c>
      <c r="B474" s="11"/>
      <c r="D474" s="20"/>
      <c r="E474" s="19">
        <f t="shared" ca="1" si="7"/>
        <v>42881</v>
      </c>
      <c r="F474" s="12"/>
    </row>
    <row r="475" spans="1:6" x14ac:dyDescent="0.25">
      <c r="A475" s="11">
        <v>0</v>
      </c>
      <c r="B475" s="11"/>
      <c r="D475" s="20"/>
      <c r="E475" s="19">
        <f t="shared" ca="1" si="7"/>
        <v>42881</v>
      </c>
      <c r="F475" s="12"/>
    </row>
    <row r="476" spans="1:6" x14ac:dyDescent="0.25">
      <c r="A476" s="11">
        <v>0</v>
      </c>
      <c r="B476" s="11"/>
      <c r="D476" s="20"/>
      <c r="E476" s="19">
        <f t="shared" ca="1" si="7"/>
        <v>42881</v>
      </c>
      <c r="F476" s="12"/>
    </row>
    <row r="477" spans="1:6" x14ac:dyDescent="0.25">
      <c r="A477" s="11">
        <v>0</v>
      </c>
      <c r="B477" s="11"/>
      <c r="D477" s="20"/>
      <c r="E477" s="19">
        <f t="shared" ca="1" si="7"/>
        <v>42881</v>
      </c>
      <c r="F477" s="12"/>
    </row>
    <row r="478" spans="1:6" x14ac:dyDescent="0.25">
      <c r="A478" s="11">
        <v>0</v>
      </c>
      <c r="B478" s="11"/>
      <c r="D478" s="20"/>
      <c r="E478" s="19">
        <f t="shared" ca="1" si="7"/>
        <v>42881</v>
      </c>
      <c r="F478" s="12"/>
    </row>
    <row r="479" spans="1:6" x14ac:dyDescent="0.25">
      <c r="A479" s="11">
        <v>0</v>
      </c>
      <c r="B479" s="11"/>
      <c r="D479" s="20"/>
      <c r="E479" s="19">
        <f t="shared" ca="1" si="7"/>
        <v>42881</v>
      </c>
      <c r="F479" s="12"/>
    </row>
    <row r="480" spans="1:6" x14ac:dyDescent="0.25">
      <c r="A480" s="11">
        <v>0</v>
      </c>
      <c r="B480" s="11"/>
      <c r="D480" s="20"/>
      <c r="E480" s="19">
        <f t="shared" ca="1" si="7"/>
        <v>42881</v>
      </c>
      <c r="F480" s="12"/>
    </row>
    <row r="481" spans="1:6" x14ac:dyDescent="0.25">
      <c r="A481" s="11">
        <v>0</v>
      </c>
      <c r="B481" s="11"/>
      <c r="D481" s="20"/>
      <c r="E481" s="19">
        <f t="shared" ca="1" si="7"/>
        <v>42881</v>
      </c>
      <c r="F481" s="12"/>
    </row>
    <row r="482" spans="1:6" x14ac:dyDescent="0.25">
      <c r="A482" s="11">
        <v>0</v>
      </c>
      <c r="B482" s="11"/>
      <c r="D482" s="20"/>
      <c r="E482" s="19">
        <f t="shared" ca="1" si="7"/>
        <v>42881</v>
      </c>
      <c r="F482" s="12"/>
    </row>
    <row r="483" spans="1:6" x14ac:dyDescent="0.25">
      <c r="A483" s="11">
        <v>0</v>
      </c>
      <c r="B483" s="11"/>
      <c r="D483" s="20"/>
      <c r="E483" s="19">
        <f t="shared" ca="1" si="7"/>
        <v>42881</v>
      </c>
      <c r="F483" s="12"/>
    </row>
    <row r="484" spans="1:6" x14ac:dyDescent="0.25">
      <c r="A484" s="11">
        <v>0</v>
      </c>
      <c r="B484" s="11"/>
      <c r="D484" s="20"/>
      <c r="E484" s="19">
        <f t="shared" ca="1" si="7"/>
        <v>42881</v>
      </c>
      <c r="F484" s="12"/>
    </row>
    <row r="485" spans="1:6" x14ac:dyDescent="0.25">
      <c r="A485" s="11">
        <v>0</v>
      </c>
      <c r="B485" s="11"/>
      <c r="D485" s="20"/>
      <c r="E485" s="19">
        <f t="shared" ca="1" si="7"/>
        <v>42881</v>
      </c>
      <c r="F485" s="12"/>
    </row>
    <row r="486" spans="1:6" x14ac:dyDescent="0.25">
      <c r="A486" s="11">
        <v>0</v>
      </c>
      <c r="B486" s="11"/>
      <c r="D486" s="20"/>
      <c r="E486" s="19">
        <f t="shared" ca="1" si="7"/>
        <v>42881</v>
      </c>
      <c r="F486" s="12"/>
    </row>
    <row r="487" spans="1:6" x14ac:dyDescent="0.25">
      <c r="A487" s="11">
        <v>0</v>
      </c>
      <c r="B487" s="11"/>
      <c r="D487" s="20"/>
      <c r="E487" s="19">
        <f t="shared" ca="1" si="7"/>
        <v>42881</v>
      </c>
      <c r="F487" s="12"/>
    </row>
    <row r="488" spans="1:6" x14ac:dyDescent="0.25">
      <c r="A488" s="11">
        <v>0</v>
      </c>
      <c r="B488" s="11"/>
      <c r="D488" s="20"/>
      <c r="E488" s="19">
        <f t="shared" ca="1" si="7"/>
        <v>42881</v>
      </c>
      <c r="F488" s="12"/>
    </row>
    <row r="489" spans="1:6" x14ac:dyDescent="0.25">
      <c r="A489" s="11">
        <v>0</v>
      </c>
      <c r="B489" s="11"/>
      <c r="D489" s="20"/>
      <c r="E489" s="19">
        <f t="shared" ca="1" si="7"/>
        <v>42881</v>
      </c>
      <c r="F489" s="12"/>
    </row>
    <row r="490" spans="1:6" x14ac:dyDescent="0.25">
      <c r="A490" s="11">
        <v>0</v>
      </c>
      <c r="B490" s="11"/>
      <c r="D490" s="20"/>
      <c r="E490" s="19">
        <f t="shared" ca="1" si="7"/>
        <v>42881</v>
      </c>
      <c r="F490" s="12"/>
    </row>
    <row r="491" spans="1:6" x14ac:dyDescent="0.25">
      <c r="A491" s="11">
        <v>0</v>
      </c>
      <c r="B491" s="11"/>
      <c r="D491" s="20"/>
      <c r="E491" s="19">
        <f t="shared" ca="1" si="7"/>
        <v>42881</v>
      </c>
      <c r="F491" s="12"/>
    </row>
    <row r="492" spans="1:6" x14ac:dyDescent="0.25">
      <c r="A492" s="11">
        <v>0</v>
      </c>
      <c r="B492" s="11"/>
      <c r="D492" s="20"/>
      <c r="E492" s="19">
        <f t="shared" ca="1" si="7"/>
        <v>42881</v>
      </c>
      <c r="F492" s="12"/>
    </row>
    <row r="493" spans="1:6" x14ac:dyDescent="0.25">
      <c r="A493" s="11">
        <v>0</v>
      </c>
      <c r="B493" s="11"/>
      <c r="D493" s="20"/>
      <c r="E493" s="19">
        <f t="shared" ca="1" si="7"/>
        <v>42881</v>
      </c>
      <c r="F493" s="12"/>
    </row>
    <row r="494" spans="1:6" x14ac:dyDescent="0.25">
      <c r="A494" s="11">
        <v>0</v>
      </c>
      <c r="B494" s="11"/>
      <c r="D494" s="20"/>
      <c r="E494" s="19">
        <f t="shared" ca="1" si="7"/>
        <v>42881</v>
      </c>
      <c r="F494" s="12"/>
    </row>
    <row r="495" spans="1:6" x14ac:dyDescent="0.25">
      <c r="A495" s="11">
        <v>0</v>
      </c>
      <c r="B495" s="11"/>
      <c r="D495" s="20"/>
      <c r="E495" s="19">
        <f t="shared" ca="1" si="7"/>
        <v>42881</v>
      </c>
      <c r="F495" s="12"/>
    </row>
    <row r="496" spans="1:6" x14ac:dyDescent="0.25">
      <c r="A496" s="11">
        <v>0</v>
      </c>
      <c r="B496" s="11"/>
      <c r="D496" s="20"/>
      <c r="E496" s="19">
        <f t="shared" ca="1" si="7"/>
        <v>42881</v>
      </c>
      <c r="F496" s="12"/>
    </row>
    <row r="497" spans="1:6" x14ac:dyDescent="0.25">
      <c r="A497" s="11">
        <v>0</v>
      </c>
      <c r="B497" s="11"/>
      <c r="D497" s="20"/>
      <c r="E497" s="19">
        <f t="shared" ca="1" si="7"/>
        <v>42881</v>
      </c>
      <c r="F497" s="12"/>
    </row>
    <row r="498" spans="1:6" x14ac:dyDescent="0.25">
      <c r="A498" s="11">
        <v>0</v>
      </c>
      <c r="B498" s="11"/>
      <c r="D498" s="20"/>
      <c r="E498" s="19">
        <f t="shared" ca="1" si="7"/>
        <v>42881</v>
      </c>
      <c r="F498" s="12"/>
    </row>
    <row r="499" spans="1:6" x14ac:dyDescent="0.25">
      <c r="A499" s="11">
        <v>0</v>
      </c>
      <c r="B499" s="11"/>
      <c r="D499" s="20"/>
      <c r="E499" s="19">
        <f t="shared" ca="1" si="7"/>
        <v>42881</v>
      </c>
      <c r="F499" s="12"/>
    </row>
    <row r="500" spans="1:6" x14ac:dyDescent="0.25">
      <c r="A500" s="11">
        <v>0</v>
      </c>
      <c r="B500" s="11"/>
      <c r="D500" s="20"/>
      <c r="E500" s="19">
        <f t="shared" ca="1" si="7"/>
        <v>42881</v>
      </c>
      <c r="F500" s="12"/>
    </row>
    <row r="501" spans="1:6" x14ac:dyDescent="0.25">
      <c r="A501" s="11">
        <v>0</v>
      </c>
      <c r="B501" s="11"/>
      <c r="D501" s="12"/>
      <c r="E501" s="19">
        <f t="shared" ca="1" si="7"/>
        <v>42881</v>
      </c>
      <c r="F501" s="12"/>
    </row>
    <row r="502" spans="1:6" x14ac:dyDescent="0.25">
      <c r="A502" s="11">
        <v>0</v>
      </c>
      <c r="B502" s="11"/>
      <c r="D502" s="12"/>
      <c r="E502" s="19">
        <f t="shared" ca="1" si="7"/>
        <v>42881</v>
      </c>
      <c r="F502" s="12"/>
    </row>
    <row r="503" spans="1:6" x14ac:dyDescent="0.25">
      <c r="A503" s="11">
        <v>0</v>
      </c>
      <c r="B503" s="11"/>
      <c r="D503" s="12"/>
      <c r="E503" s="19">
        <f t="shared" ca="1" si="7"/>
        <v>42881</v>
      </c>
      <c r="F503" s="12"/>
    </row>
    <row r="504" spans="1:6" x14ac:dyDescent="0.25">
      <c r="A504" s="11">
        <v>0</v>
      </c>
      <c r="B504" s="11"/>
      <c r="D504" s="12"/>
      <c r="E504" s="19">
        <f t="shared" ca="1" si="7"/>
        <v>42881</v>
      </c>
      <c r="F504" s="12"/>
    </row>
    <row r="505" spans="1:6" x14ac:dyDescent="0.25">
      <c r="A505" s="11">
        <v>0</v>
      </c>
      <c r="B505" s="11"/>
      <c r="D505" s="12"/>
      <c r="E505" s="19">
        <f t="shared" ca="1" si="7"/>
        <v>42881</v>
      </c>
      <c r="F505" s="12"/>
    </row>
    <row r="506" spans="1:6" x14ac:dyDescent="0.25">
      <c r="A506" s="11">
        <v>0</v>
      </c>
      <c r="B506" s="11"/>
      <c r="D506" s="12"/>
      <c r="E506" s="19">
        <f t="shared" ca="1" si="7"/>
        <v>42881</v>
      </c>
      <c r="F506" s="12"/>
    </row>
    <row r="507" spans="1:6" x14ac:dyDescent="0.25">
      <c r="A507" s="11">
        <v>0</v>
      </c>
      <c r="B507" s="11"/>
      <c r="D507" s="12"/>
      <c r="E507" s="19">
        <f t="shared" ca="1" si="7"/>
        <v>42881</v>
      </c>
      <c r="F507" s="12"/>
    </row>
    <row r="508" spans="1:6" x14ac:dyDescent="0.25">
      <c r="A508" s="11">
        <v>0</v>
      </c>
      <c r="B508" s="11"/>
      <c r="D508" s="12"/>
      <c r="E508" s="19">
        <f t="shared" ca="1" si="7"/>
        <v>42881</v>
      </c>
      <c r="F508" s="12"/>
    </row>
    <row r="509" spans="1:6" x14ac:dyDescent="0.25">
      <c r="A509" s="11">
        <v>0</v>
      </c>
      <c r="B509" s="11"/>
      <c r="D509" s="12"/>
      <c r="E509" s="19">
        <f t="shared" ca="1" si="7"/>
        <v>42881</v>
      </c>
      <c r="F509" s="12"/>
    </row>
    <row r="510" spans="1:6" x14ac:dyDescent="0.25">
      <c r="A510" s="11">
        <v>0</v>
      </c>
      <c r="B510" s="11"/>
      <c r="D510" s="12"/>
      <c r="E510" s="19">
        <f t="shared" ca="1" si="7"/>
        <v>42881</v>
      </c>
      <c r="F510" s="12"/>
    </row>
    <row r="511" spans="1:6" x14ac:dyDescent="0.25">
      <c r="A511" s="11">
        <v>0</v>
      </c>
      <c r="B511" s="11"/>
      <c r="D511" s="12"/>
      <c r="E511" s="19">
        <f t="shared" ca="1" si="7"/>
        <v>42881</v>
      </c>
      <c r="F511" s="12"/>
    </row>
    <row r="512" spans="1:6" x14ac:dyDescent="0.25">
      <c r="A512" s="11">
        <v>0</v>
      </c>
      <c r="B512" s="11"/>
      <c r="D512" s="12"/>
      <c r="E512" s="19">
        <f t="shared" ca="1" si="7"/>
        <v>42881</v>
      </c>
      <c r="F512" s="12"/>
    </row>
    <row r="513" spans="1:6" x14ac:dyDescent="0.25">
      <c r="A513" s="11">
        <v>0</v>
      </c>
      <c r="B513" s="11"/>
      <c r="D513" s="12"/>
      <c r="E513" s="19">
        <f t="shared" ca="1" si="7"/>
        <v>42881</v>
      </c>
      <c r="F513" s="12"/>
    </row>
    <row r="514" spans="1:6" x14ac:dyDescent="0.25">
      <c r="A514" s="11">
        <v>0</v>
      </c>
      <c r="B514" s="11"/>
      <c r="D514" s="12"/>
      <c r="E514" s="19">
        <f t="shared" ca="1" si="7"/>
        <v>42881</v>
      </c>
      <c r="F514" s="12"/>
    </row>
    <row r="515" spans="1:6" x14ac:dyDescent="0.25">
      <c r="A515" s="11">
        <v>0</v>
      </c>
      <c r="B515" s="11"/>
      <c r="D515" s="12"/>
      <c r="E515" s="19">
        <f t="shared" ref="E515:E578" ca="1" si="8">TODAY()</f>
        <v>42881</v>
      </c>
      <c r="F515" s="12"/>
    </row>
    <row r="516" spans="1:6" x14ac:dyDescent="0.25">
      <c r="A516" s="11">
        <v>0</v>
      </c>
      <c r="B516" s="11"/>
      <c r="D516" s="12"/>
      <c r="E516" s="19">
        <f t="shared" ca="1" si="8"/>
        <v>42881</v>
      </c>
      <c r="F516" s="12"/>
    </row>
    <row r="517" spans="1:6" x14ac:dyDescent="0.25">
      <c r="A517" s="11">
        <v>0</v>
      </c>
      <c r="B517" s="11"/>
      <c r="D517" s="12"/>
      <c r="E517" s="19">
        <f t="shared" ca="1" si="8"/>
        <v>42881</v>
      </c>
      <c r="F517" s="12"/>
    </row>
    <row r="518" spans="1:6" x14ac:dyDescent="0.25">
      <c r="A518" s="11">
        <v>0</v>
      </c>
      <c r="B518" s="11"/>
      <c r="D518" s="12"/>
      <c r="E518" s="19">
        <f t="shared" ca="1" si="8"/>
        <v>42881</v>
      </c>
      <c r="F518" s="12"/>
    </row>
    <row r="519" spans="1:6" x14ac:dyDescent="0.25">
      <c r="A519" s="11">
        <v>0</v>
      </c>
      <c r="B519" s="11"/>
      <c r="D519" s="12"/>
      <c r="E519" s="19">
        <f t="shared" ca="1" si="8"/>
        <v>42881</v>
      </c>
      <c r="F519" s="12"/>
    </row>
    <row r="520" spans="1:6" x14ac:dyDescent="0.25">
      <c r="A520" s="11">
        <v>0</v>
      </c>
      <c r="B520" s="11"/>
      <c r="D520" s="12"/>
      <c r="E520" s="19">
        <f t="shared" ca="1" si="8"/>
        <v>42881</v>
      </c>
      <c r="F520" s="12"/>
    </row>
    <row r="521" spans="1:6" x14ac:dyDescent="0.25">
      <c r="A521" s="11">
        <v>0</v>
      </c>
      <c r="B521" s="11"/>
      <c r="D521" s="12"/>
      <c r="E521" s="19">
        <f t="shared" ca="1" si="8"/>
        <v>42881</v>
      </c>
      <c r="F521" s="12"/>
    </row>
    <row r="522" spans="1:6" x14ac:dyDescent="0.25">
      <c r="A522" s="11">
        <v>0</v>
      </c>
      <c r="B522" s="11"/>
      <c r="D522" s="12"/>
      <c r="E522" s="19">
        <f t="shared" ca="1" si="8"/>
        <v>42881</v>
      </c>
      <c r="F522" s="12"/>
    </row>
    <row r="523" spans="1:6" x14ac:dyDescent="0.25">
      <c r="A523" s="11">
        <v>0</v>
      </c>
      <c r="B523" s="11"/>
      <c r="D523" s="12"/>
      <c r="E523" s="19">
        <f t="shared" ca="1" si="8"/>
        <v>42881</v>
      </c>
      <c r="F523" s="12"/>
    </row>
    <row r="524" spans="1:6" x14ac:dyDescent="0.25">
      <c r="A524" s="11">
        <v>0</v>
      </c>
      <c r="B524" s="11"/>
      <c r="D524" s="12"/>
      <c r="E524" s="19">
        <f t="shared" ca="1" si="8"/>
        <v>42881</v>
      </c>
      <c r="F524" s="12"/>
    </row>
    <row r="525" spans="1:6" x14ac:dyDescent="0.25">
      <c r="A525" s="11">
        <v>0</v>
      </c>
      <c r="B525" s="11"/>
      <c r="D525" s="12"/>
      <c r="E525" s="19">
        <f t="shared" ca="1" si="8"/>
        <v>42881</v>
      </c>
      <c r="F525" s="12"/>
    </row>
    <row r="526" spans="1:6" x14ac:dyDescent="0.25">
      <c r="A526" s="11">
        <v>0</v>
      </c>
      <c r="B526" s="11"/>
      <c r="D526" s="12"/>
      <c r="E526" s="19">
        <f t="shared" ca="1" si="8"/>
        <v>42881</v>
      </c>
      <c r="F526" s="12"/>
    </row>
    <row r="527" spans="1:6" x14ac:dyDescent="0.25">
      <c r="A527" s="11">
        <v>0</v>
      </c>
      <c r="B527" s="11"/>
      <c r="D527" s="12"/>
      <c r="E527" s="19">
        <f t="shared" ca="1" si="8"/>
        <v>42881</v>
      </c>
      <c r="F527" s="12"/>
    </row>
    <row r="528" spans="1:6" x14ac:dyDescent="0.25">
      <c r="A528" s="11">
        <v>0</v>
      </c>
      <c r="B528" s="11"/>
      <c r="D528" s="12"/>
      <c r="E528" s="19">
        <f t="shared" ca="1" si="8"/>
        <v>42881</v>
      </c>
      <c r="F528" s="12"/>
    </row>
    <row r="529" spans="1:6" x14ac:dyDescent="0.25">
      <c r="A529" s="11">
        <v>0</v>
      </c>
      <c r="B529" s="11"/>
      <c r="D529" s="12"/>
      <c r="E529" s="19">
        <f t="shared" ca="1" si="8"/>
        <v>42881</v>
      </c>
      <c r="F529" s="12"/>
    </row>
    <row r="530" spans="1:6" x14ac:dyDescent="0.25">
      <c r="A530" s="11">
        <v>0</v>
      </c>
      <c r="B530" s="11"/>
      <c r="D530" s="12"/>
      <c r="E530" s="19">
        <f t="shared" ca="1" si="8"/>
        <v>42881</v>
      </c>
      <c r="F530" s="12"/>
    </row>
    <row r="531" spans="1:6" x14ac:dyDescent="0.25">
      <c r="A531" s="11">
        <v>0</v>
      </c>
      <c r="B531" s="11"/>
      <c r="D531" s="12"/>
      <c r="E531" s="19">
        <f t="shared" ca="1" si="8"/>
        <v>42881</v>
      </c>
      <c r="F531" s="12"/>
    </row>
    <row r="532" spans="1:6" x14ac:dyDescent="0.25">
      <c r="A532" s="11">
        <v>0</v>
      </c>
      <c r="B532" s="11"/>
      <c r="D532" s="12"/>
      <c r="E532" s="19">
        <f t="shared" ca="1" si="8"/>
        <v>42881</v>
      </c>
      <c r="F532" s="12"/>
    </row>
    <row r="533" spans="1:6" x14ac:dyDescent="0.25">
      <c r="A533" s="11">
        <v>0</v>
      </c>
      <c r="B533" s="11"/>
      <c r="D533" s="12"/>
      <c r="E533" s="19">
        <f t="shared" ca="1" si="8"/>
        <v>42881</v>
      </c>
      <c r="F533" s="12"/>
    </row>
    <row r="534" spans="1:6" x14ac:dyDescent="0.25">
      <c r="A534" s="11">
        <v>0</v>
      </c>
      <c r="B534" s="11"/>
      <c r="D534" s="12"/>
      <c r="E534" s="19">
        <f t="shared" ca="1" si="8"/>
        <v>42881</v>
      </c>
      <c r="F534" s="12"/>
    </row>
    <row r="535" spans="1:6" x14ac:dyDescent="0.25">
      <c r="A535" s="11">
        <v>0</v>
      </c>
      <c r="B535" s="11"/>
      <c r="D535" s="12"/>
      <c r="E535" s="19">
        <f t="shared" ca="1" si="8"/>
        <v>42881</v>
      </c>
      <c r="F535" s="12"/>
    </row>
    <row r="536" spans="1:6" x14ac:dyDescent="0.25">
      <c r="A536" s="11">
        <v>0</v>
      </c>
      <c r="B536" s="11"/>
      <c r="D536" s="12"/>
      <c r="E536" s="19">
        <f t="shared" ca="1" si="8"/>
        <v>42881</v>
      </c>
      <c r="F536" s="12"/>
    </row>
    <row r="537" spans="1:6" x14ac:dyDescent="0.25">
      <c r="A537" s="11">
        <v>0</v>
      </c>
      <c r="B537" s="11"/>
      <c r="D537" s="12"/>
      <c r="E537" s="19">
        <f t="shared" ca="1" si="8"/>
        <v>42881</v>
      </c>
      <c r="F537" s="12"/>
    </row>
    <row r="538" spans="1:6" x14ac:dyDescent="0.25">
      <c r="A538" s="11">
        <v>0</v>
      </c>
      <c r="B538" s="11"/>
      <c r="D538" s="12"/>
      <c r="E538" s="19">
        <f t="shared" ca="1" si="8"/>
        <v>42881</v>
      </c>
      <c r="F538" s="12"/>
    </row>
    <row r="539" spans="1:6" x14ac:dyDescent="0.25">
      <c r="A539" s="11">
        <v>0</v>
      </c>
      <c r="B539" s="11"/>
      <c r="D539" s="12"/>
      <c r="E539" s="19">
        <f t="shared" ca="1" si="8"/>
        <v>42881</v>
      </c>
      <c r="F539" s="12"/>
    </row>
    <row r="540" spans="1:6" x14ac:dyDescent="0.25">
      <c r="A540" s="11">
        <v>0</v>
      </c>
      <c r="B540" s="11"/>
      <c r="D540" s="12"/>
      <c r="E540" s="19">
        <f t="shared" ca="1" si="8"/>
        <v>42881</v>
      </c>
      <c r="F540" s="12"/>
    </row>
    <row r="541" spans="1:6" x14ac:dyDescent="0.25">
      <c r="A541" s="11">
        <v>0</v>
      </c>
      <c r="B541" s="11"/>
      <c r="D541" s="12"/>
      <c r="E541" s="19">
        <f t="shared" ca="1" si="8"/>
        <v>42881</v>
      </c>
      <c r="F541" s="12"/>
    </row>
    <row r="542" spans="1:6" x14ac:dyDescent="0.25">
      <c r="A542" s="11">
        <v>0</v>
      </c>
      <c r="B542" s="11"/>
      <c r="D542" s="12"/>
      <c r="E542" s="19">
        <f t="shared" ca="1" si="8"/>
        <v>42881</v>
      </c>
      <c r="F542" s="12"/>
    </row>
    <row r="543" spans="1:6" x14ac:dyDescent="0.25">
      <c r="A543" s="11">
        <v>0</v>
      </c>
      <c r="B543" s="11"/>
      <c r="D543" s="12"/>
      <c r="E543" s="19">
        <f t="shared" ca="1" si="8"/>
        <v>42881</v>
      </c>
      <c r="F543" s="12"/>
    </row>
    <row r="544" spans="1:6" x14ac:dyDescent="0.25">
      <c r="A544" s="11">
        <v>0</v>
      </c>
      <c r="B544" s="11"/>
      <c r="D544" s="12"/>
      <c r="E544" s="19">
        <f t="shared" ca="1" si="8"/>
        <v>42881</v>
      </c>
      <c r="F544" s="12"/>
    </row>
    <row r="545" spans="1:6" x14ac:dyDescent="0.25">
      <c r="A545" s="11">
        <v>0</v>
      </c>
      <c r="B545" s="11"/>
      <c r="D545" s="12"/>
      <c r="E545" s="19">
        <f t="shared" ca="1" si="8"/>
        <v>42881</v>
      </c>
      <c r="F545" s="12"/>
    </row>
    <row r="546" spans="1:6" x14ac:dyDescent="0.25">
      <c r="A546" s="11">
        <v>0</v>
      </c>
      <c r="B546" s="11"/>
      <c r="D546" s="12"/>
      <c r="E546" s="19">
        <f t="shared" ca="1" si="8"/>
        <v>42881</v>
      </c>
      <c r="F546" s="12"/>
    </row>
    <row r="547" spans="1:6" x14ac:dyDescent="0.25">
      <c r="A547" s="11">
        <v>0</v>
      </c>
      <c r="B547" s="11"/>
      <c r="D547" s="12"/>
      <c r="E547" s="19">
        <f t="shared" ca="1" si="8"/>
        <v>42881</v>
      </c>
      <c r="F547" s="12"/>
    </row>
    <row r="548" spans="1:6" x14ac:dyDescent="0.25">
      <c r="A548" s="11">
        <v>0</v>
      </c>
      <c r="B548" s="11"/>
      <c r="D548" s="12"/>
      <c r="E548" s="19">
        <f t="shared" ca="1" si="8"/>
        <v>42881</v>
      </c>
      <c r="F548" s="12"/>
    </row>
    <row r="549" spans="1:6" x14ac:dyDescent="0.25">
      <c r="A549" s="11">
        <v>0</v>
      </c>
      <c r="B549" s="11"/>
      <c r="D549" s="12"/>
      <c r="E549" s="19">
        <f t="shared" ca="1" si="8"/>
        <v>42881</v>
      </c>
      <c r="F549" s="12"/>
    </row>
    <row r="550" spans="1:6" x14ac:dyDescent="0.25">
      <c r="A550" s="11">
        <v>0</v>
      </c>
      <c r="B550" s="11"/>
      <c r="D550" s="12"/>
      <c r="E550" s="19">
        <f t="shared" ca="1" si="8"/>
        <v>42881</v>
      </c>
      <c r="F550" s="12"/>
    </row>
    <row r="551" spans="1:6" x14ac:dyDescent="0.25">
      <c r="A551" s="11">
        <v>0</v>
      </c>
      <c r="B551" s="11"/>
      <c r="D551" s="12"/>
      <c r="E551" s="19">
        <f t="shared" ca="1" si="8"/>
        <v>42881</v>
      </c>
      <c r="F551" s="12"/>
    </row>
    <row r="552" spans="1:6" x14ac:dyDescent="0.25">
      <c r="A552" s="11">
        <v>0</v>
      </c>
      <c r="B552" s="11"/>
      <c r="D552" s="12"/>
      <c r="E552" s="19">
        <f t="shared" ca="1" si="8"/>
        <v>42881</v>
      </c>
      <c r="F552" s="12"/>
    </row>
    <row r="553" spans="1:6" x14ac:dyDescent="0.25">
      <c r="A553" s="11">
        <v>0</v>
      </c>
      <c r="B553" s="11"/>
      <c r="D553" s="12"/>
      <c r="E553" s="19">
        <f t="shared" ca="1" si="8"/>
        <v>42881</v>
      </c>
      <c r="F553" s="12"/>
    </row>
    <row r="554" spans="1:6" x14ac:dyDescent="0.25">
      <c r="A554" s="11">
        <v>0</v>
      </c>
      <c r="B554" s="11"/>
      <c r="D554" s="12"/>
      <c r="E554" s="19">
        <f t="shared" ca="1" si="8"/>
        <v>42881</v>
      </c>
      <c r="F554" s="12"/>
    </row>
    <row r="555" spans="1:6" x14ac:dyDescent="0.25">
      <c r="A555" s="11">
        <v>0</v>
      </c>
      <c r="B555" s="11"/>
      <c r="D555" s="12"/>
      <c r="E555" s="19">
        <f t="shared" ca="1" si="8"/>
        <v>42881</v>
      </c>
      <c r="F555" s="12"/>
    </row>
    <row r="556" spans="1:6" x14ac:dyDescent="0.25">
      <c r="A556" s="11">
        <v>0</v>
      </c>
      <c r="B556" s="11"/>
      <c r="D556" s="12"/>
      <c r="E556" s="19">
        <f t="shared" ca="1" si="8"/>
        <v>42881</v>
      </c>
      <c r="F556" s="12"/>
    </row>
    <row r="557" spans="1:6" x14ac:dyDescent="0.25">
      <c r="A557" s="11">
        <v>0</v>
      </c>
      <c r="B557" s="11"/>
      <c r="D557" s="12"/>
      <c r="E557" s="19">
        <f t="shared" ca="1" si="8"/>
        <v>42881</v>
      </c>
      <c r="F557" s="12"/>
    </row>
    <row r="558" spans="1:6" x14ac:dyDescent="0.25">
      <c r="A558" s="11">
        <v>0</v>
      </c>
      <c r="B558" s="11"/>
      <c r="D558" s="12"/>
      <c r="E558" s="19">
        <f t="shared" ca="1" si="8"/>
        <v>42881</v>
      </c>
      <c r="F558" s="12"/>
    </row>
    <row r="559" spans="1:6" x14ac:dyDescent="0.25">
      <c r="A559" s="11">
        <v>0</v>
      </c>
      <c r="B559" s="11"/>
      <c r="D559" s="12"/>
      <c r="E559" s="19">
        <f t="shared" ca="1" si="8"/>
        <v>42881</v>
      </c>
      <c r="F559" s="12"/>
    </row>
    <row r="560" spans="1:6" x14ac:dyDescent="0.25">
      <c r="A560" s="11">
        <v>0</v>
      </c>
      <c r="B560" s="11"/>
      <c r="D560" s="12"/>
      <c r="E560" s="19">
        <f t="shared" ca="1" si="8"/>
        <v>42881</v>
      </c>
      <c r="F560" s="12"/>
    </row>
    <row r="561" spans="1:6" x14ac:dyDescent="0.25">
      <c r="A561" s="11">
        <v>0</v>
      </c>
      <c r="B561" s="11"/>
      <c r="D561" s="12"/>
      <c r="E561" s="19">
        <f t="shared" ca="1" si="8"/>
        <v>42881</v>
      </c>
      <c r="F561" s="12"/>
    </row>
    <row r="562" spans="1:6" x14ac:dyDescent="0.25">
      <c r="A562" s="11">
        <v>0</v>
      </c>
      <c r="B562" s="11"/>
      <c r="D562" s="12"/>
      <c r="E562" s="19">
        <f t="shared" ca="1" si="8"/>
        <v>42881</v>
      </c>
      <c r="F562" s="12"/>
    </row>
    <row r="563" spans="1:6" x14ac:dyDescent="0.25">
      <c r="A563" s="11">
        <v>0</v>
      </c>
      <c r="B563" s="11"/>
      <c r="D563" s="12"/>
      <c r="E563" s="19">
        <f t="shared" ca="1" si="8"/>
        <v>42881</v>
      </c>
      <c r="F563" s="12"/>
    </row>
    <row r="564" spans="1:6" x14ac:dyDescent="0.25">
      <c r="A564" s="11">
        <v>0</v>
      </c>
      <c r="B564" s="11"/>
      <c r="D564" s="12"/>
      <c r="E564" s="19">
        <f t="shared" ca="1" si="8"/>
        <v>42881</v>
      </c>
      <c r="F564" s="12"/>
    </row>
    <row r="565" spans="1:6" x14ac:dyDescent="0.25">
      <c r="A565" s="11">
        <v>0</v>
      </c>
      <c r="B565" s="11"/>
      <c r="D565" s="12"/>
      <c r="E565" s="19">
        <f t="shared" ca="1" si="8"/>
        <v>42881</v>
      </c>
      <c r="F565" s="12"/>
    </row>
    <row r="566" spans="1:6" x14ac:dyDescent="0.25">
      <c r="A566" s="11">
        <v>0</v>
      </c>
      <c r="B566" s="11"/>
      <c r="D566" s="12"/>
      <c r="E566" s="19">
        <f t="shared" ca="1" si="8"/>
        <v>42881</v>
      </c>
      <c r="F566" s="12"/>
    </row>
    <row r="567" spans="1:6" x14ac:dyDescent="0.25">
      <c r="A567" s="11">
        <v>0</v>
      </c>
      <c r="B567" s="11"/>
      <c r="D567" s="12"/>
      <c r="E567" s="19">
        <f t="shared" ca="1" si="8"/>
        <v>42881</v>
      </c>
      <c r="F567" s="12"/>
    </row>
    <row r="568" spans="1:6" x14ac:dyDescent="0.25">
      <c r="A568" s="11">
        <v>0</v>
      </c>
      <c r="B568" s="11"/>
      <c r="D568" s="12"/>
      <c r="E568" s="19">
        <f t="shared" ca="1" si="8"/>
        <v>42881</v>
      </c>
      <c r="F568" s="12"/>
    </row>
    <row r="569" spans="1:6" x14ac:dyDescent="0.25">
      <c r="A569" s="11">
        <v>0</v>
      </c>
      <c r="B569" s="11"/>
      <c r="D569" s="12"/>
      <c r="E569" s="19">
        <f t="shared" ca="1" si="8"/>
        <v>42881</v>
      </c>
      <c r="F569" s="12"/>
    </row>
    <row r="570" spans="1:6" x14ac:dyDescent="0.25">
      <c r="A570" s="11">
        <v>0</v>
      </c>
      <c r="B570" s="11"/>
      <c r="D570" s="12"/>
      <c r="E570" s="19">
        <f t="shared" ca="1" si="8"/>
        <v>42881</v>
      </c>
      <c r="F570" s="12"/>
    </row>
    <row r="571" spans="1:6" x14ac:dyDescent="0.25">
      <c r="A571" s="11">
        <v>0</v>
      </c>
      <c r="B571" s="11"/>
      <c r="D571" s="12"/>
      <c r="E571" s="19">
        <f t="shared" ca="1" si="8"/>
        <v>42881</v>
      </c>
      <c r="F571" s="12"/>
    </row>
    <row r="572" spans="1:6" x14ac:dyDescent="0.25">
      <c r="A572" s="11">
        <v>0</v>
      </c>
      <c r="B572" s="11"/>
      <c r="D572" s="12"/>
      <c r="E572" s="19">
        <f t="shared" ca="1" si="8"/>
        <v>42881</v>
      </c>
      <c r="F572" s="12"/>
    </row>
    <row r="573" spans="1:6" x14ac:dyDescent="0.25">
      <c r="A573" s="11">
        <v>0</v>
      </c>
      <c r="B573" s="11"/>
      <c r="D573" s="12"/>
      <c r="E573" s="19">
        <f t="shared" ca="1" si="8"/>
        <v>42881</v>
      </c>
      <c r="F573" s="12"/>
    </row>
    <row r="574" spans="1:6" x14ac:dyDescent="0.25">
      <c r="A574" s="11">
        <v>0</v>
      </c>
      <c r="B574" s="11"/>
      <c r="D574" s="12"/>
      <c r="E574" s="19">
        <f t="shared" ca="1" si="8"/>
        <v>42881</v>
      </c>
      <c r="F574" s="12"/>
    </row>
    <row r="575" spans="1:6" x14ac:dyDescent="0.25">
      <c r="A575" s="11">
        <v>0</v>
      </c>
      <c r="B575" s="11"/>
      <c r="D575" s="12"/>
      <c r="E575" s="19">
        <f t="shared" ca="1" si="8"/>
        <v>42881</v>
      </c>
      <c r="F575" s="12"/>
    </row>
    <row r="576" spans="1:6" x14ac:dyDescent="0.25">
      <c r="A576" s="11">
        <v>0</v>
      </c>
      <c r="B576" s="11"/>
      <c r="D576" s="12"/>
      <c r="E576" s="19">
        <f t="shared" ca="1" si="8"/>
        <v>42881</v>
      </c>
      <c r="F576" s="12"/>
    </row>
    <row r="577" spans="1:6" x14ac:dyDescent="0.25">
      <c r="A577" s="11">
        <v>0</v>
      </c>
      <c r="B577" s="11"/>
      <c r="D577" s="12"/>
      <c r="E577" s="19">
        <f t="shared" ca="1" si="8"/>
        <v>42881</v>
      </c>
      <c r="F577" s="12"/>
    </row>
    <row r="578" spans="1:6" x14ac:dyDescent="0.25">
      <c r="A578" s="11">
        <v>0</v>
      </c>
      <c r="B578" s="11"/>
      <c r="D578" s="12"/>
      <c r="E578" s="19">
        <f t="shared" ca="1" si="8"/>
        <v>42881</v>
      </c>
      <c r="F578" s="12"/>
    </row>
    <row r="579" spans="1:6" x14ac:dyDescent="0.25">
      <c r="A579" s="11">
        <v>0</v>
      </c>
      <c r="B579" s="11"/>
      <c r="D579" s="12"/>
      <c r="E579" s="19">
        <f t="shared" ref="E579:E642" ca="1" si="9">TODAY()</f>
        <v>42881</v>
      </c>
      <c r="F579" s="12"/>
    </row>
    <row r="580" spans="1:6" x14ac:dyDescent="0.25">
      <c r="A580" s="11">
        <v>0</v>
      </c>
      <c r="B580" s="11"/>
      <c r="D580" s="12"/>
      <c r="E580" s="19">
        <f t="shared" ca="1" si="9"/>
        <v>42881</v>
      </c>
      <c r="F580" s="12"/>
    </row>
    <row r="581" spans="1:6" x14ac:dyDescent="0.25">
      <c r="A581" s="11">
        <v>0</v>
      </c>
      <c r="B581" s="11"/>
      <c r="D581" s="12"/>
      <c r="E581" s="19">
        <f t="shared" ca="1" si="9"/>
        <v>42881</v>
      </c>
      <c r="F581" s="12"/>
    </row>
    <row r="582" spans="1:6" x14ac:dyDescent="0.25">
      <c r="A582" s="11">
        <v>0</v>
      </c>
      <c r="B582" s="11"/>
      <c r="D582" s="12"/>
      <c r="E582" s="19">
        <f t="shared" ca="1" si="9"/>
        <v>42881</v>
      </c>
      <c r="F582" s="12"/>
    </row>
    <row r="583" spans="1:6" x14ac:dyDescent="0.25">
      <c r="A583" s="11">
        <v>0</v>
      </c>
      <c r="B583" s="11"/>
      <c r="D583" s="12"/>
      <c r="E583" s="19">
        <f t="shared" ca="1" si="9"/>
        <v>42881</v>
      </c>
      <c r="F583" s="12"/>
    </row>
    <row r="584" spans="1:6" x14ac:dyDescent="0.25">
      <c r="A584" s="11">
        <v>0</v>
      </c>
      <c r="B584" s="11"/>
      <c r="D584" s="12"/>
      <c r="E584" s="19">
        <f t="shared" ca="1" si="9"/>
        <v>42881</v>
      </c>
      <c r="F584" s="12"/>
    </row>
    <row r="585" spans="1:6" x14ac:dyDescent="0.25">
      <c r="A585" s="11">
        <v>0</v>
      </c>
      <c r="B585" s="11"/>
      <c r="D585" s="12"/>
      <c r="E585" s="19">
        <f t="shared" ca="1" si="9"/>
        <v>42881</v>
      </c>
      <c r="F585" s="12"/>
    </row>
    <row r="586" spans="1:6" x14ac:dyDescent="0.25">
      <c r="A586" s="11">
        <v>0</v>
      </c>
      <c r="B586" s="11"/>
      <c r="D586" s="12"/>
      <c r="E586" s="19">
        <f t="shared" ca="1" si="9"/>
        <v>42881</v>
      </c>
      <c r="F586" s="12"/>
    </row>
    <row r="587" spans="1:6" x14ac:dyDescent="0.25">
      <c r="A587" s="11">
        <v>0</v>
      </c>
      <c r="B587" s="11"/>
      <c r="D587" s="12"/>
      <c r="E587" s="19">
        <f t="shared" ca="1" si="9"/>
        <v>42881</v>
      </c>
      <c r="F587" s="12"/>
    </row>
    <row r="588" spans="1:6" x14ac:dyDescent="0.25">
      <c r="A588" s="11">
        <v>0</v>
      </c>
      <c r="B588" s="11"/>
      <c r="D588" s="12"/>
      <c r="E588" s="19">
        <f t="shared" ca="1" si="9"/>
        <v>42881</v>
      </c>
      <c r="F588" s="12"/>
    </row>
    <row r="589" spans="1:6" x14ac:dyDescent="0.25">
      <c r="A589" s="11">
        <v>0</v>
      </c>
      <c r="B589" s="11"/>
      <c r="D589" s="12"/>
      <c r="E589" s="19">
        <f t="shared" ca="1" si="9"/>
        <v>42881</v>
      </c>
      <c r="F589" s="12"/>
    </row>
    <row r="590" spans="1:6" x14ac:dyDescent="0.25">
      <c r="A590" s="11">
        <v>0</v>
      </c>
      <c r="B590" s="11"/>
      <c r="D590" s="12"/>
      <c r="E590" s="19">
        <f t="shared" ca="1" si="9"/>
        <v>42881</v>
      </c>
      <c r="F590" s="12"/>
    </row>
    <row r="591" spans="1:6" x14ac:dyDescent="0.25">
      <c r="A591" s="11">
        <v>0</v>
      </c>
      <c r="B591" s="11"/>
      <c r="D591" s="12"/>
      <c r="E591" s="19">
        <f t="shared" ca="1" si="9"/>
        <v>42881</v>
      </c>
      <c r="F591" s="12"/>
    </row>
    <row r="592" spans="1:6" x14ac:dyDescent="0.25">
      <c r="A592" s="11">
        <v>0</v>
      </c>
      <c r="B592" s="11"/>
      <c r="D592" s="12"/>
      <c r="E592" s="19">
        <f t="shared" ca="1" si="9"/>
        <v>42881</v>
      </c>
      <c r="F592" s="12"/>
    </row>
    <row r="593" spans="1:6" x14ac:dyDescent="0.25">
      <c r="A593" s="11">
        <v>0</v>
      </c>
      <c r="B593" s="11"/>
      <c r="D593" s="12"/>
      <c r="E593" s="19">
        <f t="shared" ca="1" si="9"/>
        <v>42881</v>
      </c>
      <c r="F593" s="12"/>
    </row>
    <row r="594" spans="1:6" x14ac:dyDescent="0.25">
      <c r="A594" s="11">
        <v>0</v>
      </c>
      <c r="B594" s="11"/>
      <c r="D594" s="12"/>
      <c r="E594" s="19">
        <f t="shared" ca="1" si="9"/>
        <v>42881</v>
      </c>
      <c r="F594" s="12"/>
    </row>
    <row r="595" spans="1:6" x14ac:dyDescent="0.25">
      <c r="A595" s="11">
        <v>0</v>
      </c>
      <c r="B595" s="11"/>
      <c r="D595" s="12"/>
      <c r="E595" s="19">
        <f t="shared" ca="1" si="9"/>
        <v>42881</v>
      </c>
      <c r="F595" s="12"/>
    </row>
    <row r="596" spans="1:6" x14ac:dyDescent="0.25">
      <c r="A596" s="11">
        <v>0</v>
      </c>
      <c r="B596" s="11"/>
      <c r="D596" s="12"/>
      <c r="E596" s="19">
        <f t="shared" ca="1" si="9"/>
        <v>42881</v>
      </c>
      <c r="F596" s="12"/>
    </row>
    <row r="597" spans="1:6" x14ac:dyDescent="0.25">
      <c r="A597" s="11">
        <v>0</v>
      </c>
      <c r="B597" s="11"/>
      <c r="D597" s="12"/>
      <c r="E597" s="19">
        <f t="shared" ca="1" si="9"/>
        <v>42881</v>
      </c>
      <c r="F597" s="12"/>
    </row>
    <row r="598" spans="1:6" x14ac:dyDescent="0.25">
      <c r="A598" s="11">
        <v>0</v>
      </c>
      <c r="B598" s="11"/>
      <c r="D598" s="12"/>
      <c r="E598" s="19">
        <f t="shared" ca="1" si="9"/>
        <v>42881</v>
      </c>
      <c r="F598" s="12"/>
    </row>
    <row r="599" spans="1:6" x14ac:dyDescent="0.25">
      <c r="A599" s="11">
        <v>0</v>
      </c>
      <c r="B599" s="11"/>
      <c r="D599" s="12"/>
      <c r="E599" s="19">
        <f t="shared" ca="1" si="9"/>
        <v>42881</v>
      </c>
      <c r="F599" s="12"/>
    </row>
    <row r="600" spans="1:6" x14ac:dyDescent="0.25">
      <c r="A600" s="11">
        <v>0</v>
      </c>
      <c r="B600" s="11"/>
      <c r="D600" s="12"/>
      <c r="E600" s="19">
        <f t="shared" ca="1" si="9"/>
        <v>42881</v>
      </c>
      <c r="F600" s="12"/>
    </row>
    <row r="601" spans="1:6" x14ac:dyDescent="0.25">
      <c r="A601" s="11">
        <v>0</v>
      </c>
      <c r="B601" s="11"/>
      <c r="D601" s="12"/>
      <c r="E601" s="19">
        <f t="shared" ca="1" si="9"/>
        <v>42881</v>
      </c>
      <c r="F601" s="12"/>
    </row>
    <row r="602" spans="1:6" x14ac:dyDescent="0.25">
      <c r="A602" s="11">
        <v>0</v>
      </c>
      <c r="B602" s="11"/>
      <c r="D602" s="12"/>
      <c r="E602" s="19">
        <f t="shared" ca="1" si="9"/>
        <v>42881</v>
      </c>
      <c r="F602" s="12"/>
    </row>
    <row r="603" spans="1:6" x14ac:dyDescent="0.25">
      <c r="A603" s="11">
        <v>0</v>
      </c>
      <c r="B603" s="11"/>
      <c r="D603" s="12"/>
      <c r="E603" s="19">
        <f t="shared" ca="1" si="9"/>
        <v>42881</v>
      </c>
      <c r="F603" s="12"/>
    </row>
    <row r="604" spans="1:6" x14ac:dyDescent="0.25">
      <c r="A604" s="11">
        <v>0</v>
      </c>
      <c r="B604" s="11"/>
      <c r="D604" s="12"/>
      <c r="E604" s="19">
        <f t="shared" ca="1" si="9"/>
        <v>42881</v>
      </c>
      <c r="F604" s="12"/>
    </row>
    <row r="605" spans="1:6" x14ac:dyDescent="0.25">
      <c r="A605" s="11">
        <v>0</v>
      </c>
      <c r="B605" s="11"/>
      <c r="D605" s="12"/>
      <c r="E605" s="19">
        <f t="shared" ca="1" si="9"/>
        <v>42881</v>
      </c>
      <c r="F605" s="12"/>
    </row>
    <row r="606" spans="1:6" x14ac:dyDescent="0.25">
      <c r="A606" s="11">
        <v>0</v>
      </c>
      <c r="B606" s="11"/>
      <c r="D606" s="12"/>
      <c r="E606" s="19">
        <f t="shared" ca="1" si="9"/>
        <v>42881</v>
      </c>
      <c r="F606" s="12"/>
    </row>
    <row r="607" spans="1:6" x14ac:dyDescent="0.25">
      <c r="A607" s="11">
        <v>0</v>
      </c>
      <c r="B607" s="11"/>
      <c r="D607" s="12"/>
      <c r="E607" s="19">
        <f t="shared" ca="1" si="9"/>
        <v>42881</v>
      </c>
      <c r="F607" s="12"/>
    </row>
    <row r="608" spans="1:6" x14ac:dyDescent="0.25">
      <c r="A608" s="11">
        <v>0</v>
      </c>
      <c r="B608" s="11"/>
      <c r="D608" s="12"/>
      <c r="E608" s="19">
        <f t="shared" ca="1" si="9"/>
        <v>42881</v>
      </c>
      <c r="F608" s="12"/>
    </row>
    <row r="609" spans="1:6" x14ac:dyDescent="0.25">
      <c r="A609" s="11">
        <v>0</v>
      </c>
      <c r="B609" s="11"/>
      <c r="D609" s="12"/>
      <c r="E609" s="19">
        <f t="shared" ca="1" si="9"/>
        <v>42881</v>
      </c>
      <c r="F609" s="12"/>
    </row>
    <row r="610" spans="1:6" x14ac:dyDescent="0.25">
      <c r="A610" s="11">
        <v>0</v>
      </c>
      <c r="B610" s="11"/>
      <c r="D610" s="12"/>
      <c r="E610" s="19">
        <f t="shared" ca="1" si="9"/>
        <v>42881</v>
      </c>
      <c r="F610" s="12"/>
    </row>
    <row r="611" spans="1:6" x14ac:dyDescent="0.25">
      <c r="A611" s="11">
        <v>0</v>
      </c>
      <c r="B611" s="11"/>
      <c r="D611" s="12"/>
      <c r="E611" s="19">
        <f t="shared" ca="1" si="9"/>
        <v>42881</v>
      </c>
      <c r="F611" s="12"/>
    </row>
    <row r="612" spans="1:6" x14ac:dyDescent="0.25">
      <c r="A612" s="11">
        <v>0</v>
      </c>
      <c r="B612" s="11"/>
      <c r="D612" s="12"/>
      <c r="E612" s="19">
        <f t="shared" ca="1" si="9"/>
        <v>42881</v>
      </c>
      <c r="F612" s="12"/>
    </row>
    <row r="613" spans="1:6" x14ac:dyDescent="0.25">
      <c r="A613" s="11">
        <v>0</v>
      </c>
      <c r="B613" s="11"/>
      <c r="D613" s="12"/>
      <c r="E613" s="19">
        <f t="shared" ca="1" si="9"/>
        <v>42881</v>
      </c>
      <c r="F613" s="12"/>
    </row>
    <row r="614" spans="1:6" x14ac:dyDescent="0.25">
      <c r="A614" s="11">
        <v>0</v>
      </c>
      <c r="B614" s="11"/>
      <c r="D614" s="12"/>
      <c r="E614" s="19">
        <f t="shared" ca="1" si="9"/>
        <v>42881</v>
      </c>
      <c r="F614" s="12"/>
    </row>
    <row r="615" spans="1:6" x14ac:dyDescent="0.25">
      <c r="A615" s="11">
        <v>0</v>
      </c>
      <c r="B615" s="11"/>
      <c r="D615" s="12"/>
      <c r="E615" s="19">
        <f t="shared" ca="1" si="9"/>
        <v>42881</v>
      </c>
      <c r="F615" s="12"/>
    </row>
    <row r="616" spans="1:6" x14ac:dyDescent="0.25">
      <c r="A616" s="11">
        <v>0</v>
      </c>
      <c r="B616" s="11"/>
      <c r="D616" s="12"/>
      <c r="E616" s="19">
        <f t="shared" ca="1" si="9"/>
        <v>42881</v>
      </c>
      <c r="F616" s="12"/>
    </row>
    <row r="617" spans="1:6" x14ac:dyDescent="0.25">
      <c r="A617" s="11">
        <v>0</v>
      </c>
      <c r="B617" s="11"/>
      <c r="D617" s="12"/>
      <c r="E617" s="19">
        <f t="shared" ca="1" si="9"/>
        <v>42881</v>
      </c>
      <c r="F617" s="12"/>
    </row>
    <row r="618" spans="1:6" x14ac:dyDescent="0.25">
      <c r="A618" s="11">
        <v>0</v>
      </c>
      <c r="B618" s="11"/>
      <c r="D618" s="12"/>
      <c r="E618" s="19">
        <f t="shared" ca="1" si="9"/>
        <v>42881</v>
      </c>
      <c r="F618" s="12"/>
    </row>
    <row r="619" spans="1:6" x14ac:dyDescent="0.25">
      <c r="A619" s="11">
        <v>0</v>
      </c>
      <c r="B619" s="11"/>
      <c r="D619" s="12"/>
      <c r="E619" s="19">
        <f t="shared" ca="1" si="9"/>
        <v>42881</v>
      </c>
      <c r="F619" s="12"/>
    </row>
    <row r="620" spans="1:6" x14ac:dyDescent="0.25">
      <c r="A620" s="11">
        <v>0</v>
      </c>
      <c r="B620" s="11"/>
      <c r="D620" s="12"/>
      <c r="E620" s="19">
        <f t="shared" ca="1" si="9"/>
        <v>42881</v>
      </c>
      <c r="F620" s="12"/>
    </row>
    <row r="621" spans="1:6" x14ac:dyDescent="0.25">
      <c r="A621" s="11">
        <v>0</v>
      </c>
      <c r="B621" s="11"/>
      <c r="D621" s="12"/>
      <c r="E621" s="19">
        <f t="shared" ca="1" si="9"/>
        <v>42881</v>
      </c>
      <c r="F621" s="12"/>
    </row>
    <row r="622" spans="1:6" x14ac:dyDescent="0.25">
      <c r="A622" s="11">
        <v>0</v>
      </c>
      <c r="B622" s="11"/>
      <c r="D622" s="12"/>
      <c r="E622" s="19">
        <f t="shared" ca="1" si="9"/>
        <v>42881</v>
      </c>
      <c r="F622" s="12"/>
    </row>
    <row r="623" spans="1:6" x14ac:dyDescent="0.25">
      <c r="A623" s="11">
        <v>0</v>
      </c>
      <c r="B623" s="11"/>
      <c r="D623" s="12"/>
      <c r="E623" s="19">
        <f t="shared" ca="1" si="9"/>
        <v>42881</v>
      </c>
      <c r="F623" s="12"/>
    </row>
    <row r="624" spans="1:6" x14ac:dyDescent="0.25">
      <c r="A624" s="11">
        <v>0</v>
      </c>
      <c r="B624" s="11"/>
      <c r="D624" s="12"/>
      <c r="E624" s="19">
        <f t="shared" ca="1" si="9"/>
        <v>42881</v>
      </c>
      <c r="F624" s="12"/>
    </row>
    <row r="625" spans="1:6" x14ac:dyDescent="0.25">
      <c r="A625" s="11">
        <v>0</v>
      </c>
      <c r="B625" s="11"/>
      <c r="D625" s="12"/>
      <c r="E625" s="19">
        <f t="shared" ca="1" si="9"/>
        <v>42881</v>
      </c>
      <c r="F625" s="12"/>
    </row>
    <row r="626" spans="1:6" x14ac:dyDescent="0.25">
      <c r="A626" s="11">
        <v>0</v>
      </c>
      <c r="B626" s="11"/>
      <c r="D626" s="12"/>
      <c r="E626" s="19">
        <f t="shared" ca="1" si="9"/>
        <v>42881</v>
      </c>
      <c r="F626" s="12"/>
    </row>
    <row r="627" spans="1:6" x14ac:dyDescent="0.25">
      <c r="A627" s="11">
        <v>0</v>
      </c>
      <c r="B627" s="11"/>
      <c r="D627" s="12"/>
      <c r="E627" s="19">
        <f t="shared" ca="1" si="9"/>
        <v>42881</v>
      </c>
      <c r="F627" s="12"/>
    </row>
    <row r="628" spans="1:6" x14ac:dyDescent="0.25">
      <c r="A628" s="11">
        <v>0</v>
      </c>
      <c r="B628" s="11"/>
      <c r="D628" s="12"/>
      <c r="E628" s="19">
        <f t="shared" ca="1" si="9"/>
        <v>42881</v>
      </c>
      <c r="F628" s="12"/>
    </row>
    <row r="629" spans="1:6" x14ac:dyDescent="0.25">
      <c r="A629" s="11">
        <v>0</v>
      </c>
      <c r="B629" s="11"/>
      <c r="D629" s="12"/>
      <c r="E629" s="19">
        <f t="shared" ca="1" si="9"/>
        <v>42881</v>
      </c>
      <c r="F629" s="12"/>
    </row>
    <row r="630" spans="1:6" x14ac:dyDescent="0.25">
      <c r="A630" s="11">
        <v>0</v>
      </c>
      <c r="B630" s="11"/>
      <c r="D630" s="12"/>
      <c r="E630" s="19">
        <f t="shared" ca="1" si="9"/>
        <v>42881</v>
      </c>
      <c r="F630" s="12"/>
    </row>
    <row r="631" spans="1:6" x14ac:dyDescent="0.25">
      <c r="A631" s="11">
        <v>0</v>
      </c>
      <c r="B631" s="11"/>
      <c r="D631" s="12"/>
      <c r="E631" s="19">
        <f t="shared" ca="1" si="9"/>
        <v>42881</v>
      </c>
      <c r="F631" s="12"/>
    </row>
    <row r="632" spans="1:6" x14ac:dyDescent="0.25">
      <c r="A632" s="11">
        <v>0</v>
      </c>
      <c r="B632" s="11"/>
      <c r="D632" s="12"/>
      <c r="E632" s="19">
        <f t="shared" ca="1" si="9"/>
        <v>42881</v>
      </c>
      <c r="F632" s="12"/>
    </row>
    <row r="633" spans="1:6" x14ac:dyDescent="0.25">
      <c r="A633" s="11">
        <v>0</v>
      </c>
      <c r="B633" s="11"/>
      <c r="D633" s="12"/>
      <c r="E633" s="19">
        <f t="shared" ca="1" si="9"/>
        <v>42881</v>
      </c>
      <c r="F633" s="12"/>
    </row>
    <row r="634" spans="1:6" x14ac:dyDescent="0.25">
      <c r="A634" s="11">
        <v>0</v>
      </c>
      <c r="B634" s="11"/>
      <c r="D634" s="12"/>
      <c r="E634" s="19">
        <f t="shared" ca="1" si="9"/>
        <v>42881</v>
      </c>
      <c r="F634" s="12"/>
    </row>
    <row r="635" spans="1:6" x14ac:dyDescent="0.25">
      <c r="A635" s="11">
        <v>0</v>
      </c>
      <c r="B635" s="11"/>
      <c r="D635" s="12"/>
      <c r="E635" s="19">
        <f t="shared" ca="1" si="9"/>
        <v>42881</v>
      </c>
      <c r="F635" s="12"/>
    </row>
    <row r="636" spans="1:6" x14ac:dyDescent="0.25">
      <c r="A636" s="11">
        <v>0</v>
      </c>
      <c r="B636" s="11"/>
      <c r="D636" s="12"/>
      <c r="E636" s="19">
        <f t="shared" ca="1" si="9"/>
        <v>42881</v>
      </c>
      <c r="F636" s="12"/>
    </row>
    <row r="637" spans="1:6" x14ac:dyDescent="0.25">
      <c r="A637" s="11">
        <v>0</v>
      </c>
      <c r="B637" s="11"/>
      <c r="D637" s="12"/>
      <c r="E637" s="19">
        <f t="shared" ca="1" si="9"/>
        <v>42881</v>
      </c>
      <c r="F637" s="12"/>
    </row>
    <row r="638" spans="1:6" x14ac:dyDescent="0.25">
      <c r="A638" s="11">
        <v>0</v>
      </c>
      <c r="B638" s="11"/>
      <c r="D638" s="12"/>
      <c r="E638" s="19">
        <f t="shared" ca="1" si="9"/>
        <v>42881</v>
      </c>
      <c r="F638" s="12"/>
    </row>
    <row r="639" spans="1:6" x14ac:dyDescent="0.25">
      <c r="A639" s="11">
        <v>0</v>
      </c>
      <c r="B639" s="11"/>
      <c r="D639" s="12"/>
      <c r="E639" s="19">
        <f t="shared" ca="1" si="9"/>
        <v>42881</v>
      </c>
      <c r="F639" s="12"/>
    </row>
    <row r="640" spans="1:6" x14ac:dyDescent="0.25">
      <c r="A640" s="11">
        <v>0</v>
      </c>
      <c r="B640" s="11"/>
      <c r="D640" s="12"/>
      <c r="E640" s="19">
        <f t="shared" ca="1" si="9"/>
        <v>42881</v>
      </c>
      <c r="F640" s="12"/>
    </row>
    <row r="641" spans="1:6" x14ac:dyDescent="0.25">
      <c r="A641" s="11">
        <v>0</v>
      </c>
      <c r="B641" s="11"/>
      <c r="D641" s="12"/>
      <c r="E641" s="19">
        <f t="shared" ca="1" si="9"/>
        <v>42881</v>
      </c>
      <c r="F641" s="12"/>
    </row>
    <row r="642" spans="1:6" x14ac:dyDescent="0.25">
      <c r="A642" s="11">
        <v>0</v>
      </c>
      <c r="B642" s="11"/>
      <c r="D642" s="12"/>
      <c r="E642" s="19">
        <f t="shared" ca="1" si="9"/>
        <v>42881</v>
      </c>
      <c r="F642" s="12"/>
    </row>
    <row r="643" spans="1:6" x14ac:dyDescent="0.25">
      <c r="A643" s="11">
        <v>0</v>
      </c>
      <c r="B643" s="11"/>
      <c r="D643" s="12"/>
      <c r="E643" s="19">
        <f t="shared" ref="E643:E706" ca="1" si="10">TODAY()</f>
        <v>42881</v>
      </c>
      <c r="F643" s="12"/>
    </row>
    <row r="644" spans="1:6" x14ac:dyDescent="0.25">
      <c r="A644" s="11">
        <v>0</v>
      </c>
      <c r="B644" s="11"/>
      <c r="D644" s="12"/>
      <c r="E644" s="19">
        <f t="shared" ca="1" si="10"/>
        <v>42881</v>
      </c>
      <c r="F644" s="12"/>
    </row>
    <row r="645" spans="1:6" x14ac:dyDescent="0.25">
      <c r="A645" s="11">
        <v>0</v>
      </c>
      <c r="B645" s="11"/>
      <c r="D645" s="12"/>
      <c r="E645" s="19">
        <f t="shared" ca="1" si="10"/>
        <v>42881</v>
      </c>
      <c r="F645" s="12"/>
    </row>
    <row r="646" spans="1:6" x14ac:dyDescent="0.25">
      <c r="A646" s="11">
        <v>0</v>
      </c>
      <c r="B646" s="11"/>
      <c r="D646" s="12"/>
      <c r="E646" s="19">
        <f t="shared" ca="1" si="10"/>
        <v>42881</v>
      </c>
      <c r="F646" s="12"/>
    </row>
    <row r="647" spans="1:6" x14ac:dyDescent="0.25">
      <c r="A647" s="11">
        <v>0</v>
      </c>
      <c r="B647" s="11"/>
      <c r="D647" s="12"/>
      <c r="E647" s="19">
        <f t="shared" ca="1" si="10"/>
        <v>42881</v>
      </c>
      <c r="F647" s="12"/>
    </row>
    <row r="648" spans="1:6" x14ac:dyDescent="0.25">
      <c r="A648" s="11">
        <v>0</v>
      </c>
      <c r="B648" s="11"/>
      <c r="D648" s="12"/>
      <c r="E648" s="19">
        <f t="shared" ca="1" si="10"/>
        <v>42881</v>
      </c>
      <c r="F648" s="12"/>
    </row>
    <row r="649" spans="1:6" x14ac:dyDescent="0.25">
      <c r="A649" s="11">
        <v>0</v>
      </c>
      <c r="B649" s="11"/>
      <c r="D649" s="12"/>
      <c r="E649" s="19">
        <f t="shared" ca="1" si="10"/>
        <v>42881</v>
      </c>
      <c r="F649" s="12"/>
    </row>
    <row r="650" spans="1:6" x14ac:dyDescent="0.25">
      <c r="A650" s="11">
        <v>0</v>
      </c>
      <c r="B650" s="11"/>
      <c r="D650" s="12"/>
      <c r="E650" s="19">
        <f t="shared" ca="1" si="10"/>
        <v>42881</v>
      </c>
      <c r="F650" s="12"/>
    </row>
    <row r="651" spans="1:6" x14ac:dyDescent="0.25">
      <c r="A651" s="11">
        <v>0</v>
      </c>
      <c r="B651" s="11"/>
      <c r="D651" s="12"/>
      <c r="E651" s="19">
        <f t="shared" ca="1" si="10"/>
        <v>42881</v>
      </c>
      <c r="F651" s="12"/>
    </row>
    <row r="652" spans="1:6" x14ac:dyDescent="0.25">
      <c r="A652" s="11">
        <v>0</v>
      </c>
      <c r="B652" s="11"/>
      <c r="D652" s="12"/>
      <c r="E652" s="19">
        <f t="shared" ca="1" si="10"/>
        <v>42881</v>
      </c>
      <c r="F652" s="12"/>
    </row>
    <row r="653" spans="1:6" x14ac:dyDescent="0.25">
      <c r="A653" s="11">
        <v>0</v>
      </c>
      <c r="B653" s="11"/>
      <c r="D653" s="12"/>
      <c r="E653" s="19">
        <f t="shared" ca="1" si="10"/>
        <v>42881</v>
      </c>
      <c r="F653" s="12"/>
    </row>
    <row r="654" spans="1:6" x14ac:dyDescent="0.25">
      <c r="A654" s="11">
        <v>0</v>
      </c>
      <c r="B654" s="11"/>
      <c r="D654" s="12"/>
      <c r="E654" s="19">
        <f t="shared" ca="1" si="10"/>
        <v>42881</v>
      </c>
      <c r="F654" s="12"/>
    </row>
    <row r="655" spans="1:6" x14ac:dyDescent="0.25">
      <c r="A655" s="11">
        <v>0</v>
      </c>
      <c r="B655" s="11"/>
      <c r="D655" s="12"/>
      <c r="E655" s="19">
        <f t="shared" ca="1" si="10"/>
        <v>42881</v>
      </c>
      <c r="F655" s="12"/>
    </row>
    <row r="656" spans="1:6" x14ac:dyDescent="0.25">
      <c r="A656" s="11">
        <v>0</v>
      </c>
      <c r="B656" s="11"/>
      <c r="D656" s="12"/>
      <c r="E656" s="19">
        <f t="shared" ca="1" si="10"/>
        <v>42881</v>
      </c>
      <c r="F656" s="12"/>
    </row>
    <row r="657" spans="1:6" x14ac:dyDescent="0.25">
      <c r="A657" s="11">
        <v>0</v>
      </c>
      <c r="B657" s="11"/>
      <c r="D657" s="12"/>
      <c r="E657" s="19">
        <f t="shared" ca="1" si="10"/>
        <v>42881</v>
      </c>
      <c r="F657" s="12"/>
    </row>
    <row r="658" spans="1:6" x14ac:dyDescent="0.25">
      <c r="A658" s="11">
        <v>0</v>
      </c>
      <c r="B658" s="11"/>
      <c r="D658" s="12"/>
      <c r="E658" s="19">
        <f t="shared" ca="1" si="10"/>
        <v>42881</v>
      </c>
      <c r="F658" s="12"/>
    </row>
    <row r="659" spans="1:6" x14ac:dyDescent="0.25">
      <c r="A659" s="11">
        <v>0</v>
      </c>
      <c r="B659" s="11"/>
      <c r="D659" s="12"/>
      <c r="E659" s="19">
        <f t="shared" ca="1" si="10"/>
        <v>42881</v>
      </c>
      <c r="F659" s="12"/>
    </row>
    <row r="660" spans="1:6" x14ac:dyDescent="0.25">
      <c r="A660" s="11">
        <v>0</v>
      </c>
      <c r="B660" s="11"/>
      <c r="D660" s="12"/>
      <c r="E660" s="19">
        <f t="shared" ca="1" si="10"/>
        <v>42881</v>
      </c>
      <c r="F660" s="12"/>
    </row>
    <row r="661" spans="1:6" x14ac:dyDescent="0.25">
      <c r="A661" s="11">
        <v>0</v>
      </c>
      <c r="B661" s="11"/>
      <c r="D661" s="12"/>
      <c r="E661" s="19">
        <f t="shared" ca="1" si="10"/>
        <v>42881</v>
      </c>
      <c r="F661" s="12"/>
    </row>
    <row r="662" spans="1:6" x14ac:dyDescent="0.25">
      <c r="A662" s="11">
        <v>0</v>
      </c>
      <c r="B662" s="11"/>
      <c r="D662" s="12"/>
      <c r="E662" s="19">
        <f t="shared" ca="1" si="10"/>
        <v>42881</v>
      </c>
      <c r="F662" s="12"/>
    </row>
    <row r="663" spans="1:6" x14ac:dyDescent="0.25">
      <c r="A663" s="11">
        <v>0</v>
      </c>
      <c r="B663" s="11"/>
      <c r="D663" s="12"/>
      <c r="E663" s="19">
        <f t="shared" ca="1" si="10"/>
        <v>42881</v>
      </c>
      <c r="F663" s="12"/>
    </row>
    <row r="664" spans="1:6" x14ac:dyDescent="0.25">
      <c r="A664" s="11">
        <v>0</v>
      </c>
      <c r="B664" s="11"/>
      <c r="D664" s="12"/>
      <c r="E664" s="19">
        <f t="shared" ca="1" si="10"/>
        <v>42881</v>
      </c>
      <c r="F664" s="12"/>
    </row>
    <row r="665" spans="1:6" x14ac:dyDescent="0.25">
      <c r="A665" s="11">
        <v>0</v>
      </c>
      <c r="B665" s="11"/>
      <c r="D665" s="12"/>
      <c r="E665" s="19">
        <f t="shared" ca="1" si="10"/>
        <v>42881</v>
      </c>
      <c r="F665" s="12"/>
    </row>
    <row r="666" spans="1:6" x14ac:dyDescent="0.25">
      <c r="A666" s="11">
        <v>0</v>
      </c>
      <c r="B666" s="11"/>
      <c r="D666" s="12"/>
      <c r="E666" s="19">
        <f t="shared" ca="1" si="10"/>
        <v>42881</v>
      </c>
      <c r="F666" s="12"/>
    </row>
    <row r="667" spans="1:6" x14ac:dyDescent="0.25">
      <c r="A667" s="11">
        <v>0</v>
      </c>
      <c r="B667" s="11"/>
      <c r="D667" s="12"/>
      <c r="E667" s="19">
        <f t="shared" ca="1" si="10"/>
        <v>42881</v>
      </c>
      <c r="F667" s="12"/>
    </row>
    <row r="668" spans="1:6" x14ac:dyDescent="0.25">
      <c r="A668" s="11">
        <v>0</v>
      </c>
      <c r="B668" s="11"/>
      <c r="D668" s="12"/>
      <c r="E668" s="19">
        <f t="shared" ca="1" si="10"/>
        <v>42881</v>
      </c>
      <c r="F668" s="12"/>
    </row>
    <row r="669" spans="1:6" x14ac:dyDescent="0.25">
      <c r="A669" s="11">
        <v>0</v>
      </c>
      <c r="B669" s="11"/>
      <c r="D669" s="12"/>
      <c r="E669" s="19">
        <f t="shared" ca="1" si="10"/>
        <v>42881</v>
      </c>
      <c r="F669" s="12"/>
    </row>
    <row r="670" spans="1:6" x14ac:dyDescent="0.25">
      <c r="A670" s="11">
        <v>0</v>
      </c>
      <c r="B670" s="11"/>
      <c r="D670" s="12"/>
      <c r="E670" s="19">
        <f t="shared" ca="1" si="10"/>
        <v>42881</v>
      </c>
      <c r="F670" s="12"/>
    </row>
    <row r="671" spans="1:6" x14ac:dyDescent="0.25">
      <c r="A671" s="11">
        <v>0</v>
      </c>
      <c r="B671" s="11"/>
      <c r="D671" s="12"/>
      <c r="E671" s="19">
        <f t="shared" ca="1" si="10"/>
        <v>42881</v>
      </c>
      <c r="F671" s="12"/>
    </row>
    <row r="672" spans="1:6" x14ac:dyDescent="0.25">
      <c r="A672" s="11">
        <v>0</v>
      </c>
      <c r="B672" s="11"/>
      <c r="D672" s="12"/>
      <c r="E672" s="19">
        <f t="shared" ca="1" si="10"/>
        <v>42881</v>
      </c>
      <c r="F672" s="12"/>
    </row>
    <row r="673" spans="1:6" x14ac:dyDescent="0.25">
      <c r="A673" s="11">
        <v>0</v>
      </c>
      <c r="B673" s="11"/>
      <c r="D673" s="12"/>
      <c r="E673" s="19">
        <f t="shared" ca="1" si="10"/>
        <v>42881</v>
      </c>
      <c r="F673" s="12"/>
    </row>
    <row r="674" spans="1:6" x14ac:dyDescent="0.25">
      <c r="A674" s="11">
        <v>0</v>
      </c>
      <c r="B674" s="11"/>
      <c r="D674" s="12"/>
      <c r="E674" s="19">
        <f t="shared" ca="1" si="10"/>
        <v>42881</v>
      </c>
      <c r="F674" s="12"/>
    </row>
    <row r="675" spans="1:6" x14ac:dyDescent="0.25">
      <c r="A675" s="11">
        <v>0</v>
      </c>
      <c r="B675" s="11"/>
      <c r="D675" s="12"/>
      <c r="E675" s="19">
        <f t="shared" ca="1" si="10"/>
        <v>42881</v>
      </c>
      <c r="F675" s="12"/>
    </row>
    <row r="676" spans="1:6" x14ac:dyDescent="0.25">
      <c r="A676" s="11">
        <v>0</v>
      </c>
      <c r="B676" s="11"/>
      <c r="D676" s="12"/>
      <c r="E676" s="19">
        <f t="shared" ca="1" si="10"/>
        <v>42881</v>
      </c>
      <c r="F676" s="12"/>
    </row>
    <row r="677" spans="1:6" x14ac:dyDescent="0.25">
      <c r="A677" s="11">
        <v>0</v>
      </c>
      <c r="B677" s="11"/>
      <c r="D677" s="12"/>
      <c r="E677" s="19">
        <f t="shared" ca="1" si="10"/>
        <v>42881</v>
      </c>
      <c r="F677" s="12"/>
    </row>
    <row r="678" spans="1:6" x14ac:dyDescent="0.25">
      <c r="A678" s="11">
        <v>0</v>
      </c>
      <c r="B678" s="11"/>
      <c r="D678" s="12"/>
      <c r="E678" s="19">
        <f t="shared" ca="1" si="10"/>
        <v>42881</v>
      </c>
      <c r="F678" s="12"/>
    </row>
    <row r="679" spans="1:6" x14ac:dyDescent="0.25">
      <c r="A679" s="11">
        <v>0</v>
      </c>
      <c r="B679" s="11"/>
      <c r="D679" s="12"/>
      <c r="E679" s="19">
        <f t="shared" ca="1" si="10"/>
        <v>42881</v>
      </c>
      <c r="F679" s="12"/>
    </row>
    <row r="680" spans="1:6" x14ac:dyDescent="0.25">
      <c r="A680" s="11">
        <v>0</v>
      </c>
      <c r="B680" s="11"/>
      <c r="D680" s="12"/>
      <c r="E680" s="19">
        <f t="shared" ca="1" si="10"/>
        <v>42881</v>
      </c>
      <c r="F680" s="12"/>
    </row>
    <row r="681" spans="1:6" x14ac:dyDescent="0.25">
      <c r="A681" s="11">
        <v>0</v>
      </c>
      <c r="B681" s="11"/>
      <c r="D681" s="12"/>
      <c r="E681" s="19">
        <f t="shared" ca="1" si="10"/>
        <v>42881</v>
      </c>
      <c r="F681" s="12"/>
    </row>
    <row r="682" spans="1:6" x14ac:dyDescent="0.25">
      <c r="A682" s="11">
        <v>0</v>
      </c>
      <c r="B682" s="11"/>
      <c r="D682" s="12"/>
      <c r="E682" s="19">
        <f t="shared" ca="1" si="10"/>
        <v>42881</v>
      </c>
      <c r="F682" s="12"/>
    </row>
    <row r="683" spans="1:6" x14ac:dyDescent="0.25">
      <c r="A683" s="11">
        <v>0</v>
      </c>
      <c r="B683" s="11"/>
      <c r="D683" s="12"/>
      <c r="E683" s="19">
        <f t="shared" ca="1" si="10"/>
        <v>42881</v>
      </c>
      <c r="F683" s="12"/>
    </row>
    <row r="684" spans="1:6" x14ac:dyDescent="0.25">
      <c r="A684" s="11">
        <v>0</v>
      </c>
      <c r="B684" s="11"/>
      <c r="D684" s="12"/>
      <c r="E684" s="19">
        <f t="shared" ca="1" si="10"/>
        <v>42881</v>
      </c>
      <c r="F684" s="12"/>
    </row>
    <row r="685" spans="1:6" x14ac:dyDescent="0.25">
      <c r="A685" s="11">
        <v>0</v>
      </c>
      <c r="B685" s="11"/>
      <c r="D685" s="12"/>
      <c r="E685" s="19">
        <f t="shared" ca="1" si="10"/>
        <v>42881</v>
      </c>
      <c r="F685" s="12"/>
    </row>
    <row r="686" spans="1:6" x14ac:dyDescent="0.25">
      <c r="A686" s="11">
        <v>0</v>
      </c>
      <c r="B686" s="11"/>
      <c r="D686" s="12"/>
      <c r="E686" s="19">
        <f t="shared" ca="1" si="10"/>
        <v>42881</v>
      </c>
      <c r="F686" s="12"/>
    </row>
    <row r="687" spans="1:6" x14ac:dyDescent="0.25">
      <c r="A687" s="11">
        <v>0</v>
      </c>
      <c r="B687" s="11"/>
      <c r="D687" s="12"/>
      <c r="E687" s="19">
        <f t="shared" ca="1" si="10"/>
        <v>42881</v>
      </c>
      <c r="F687" s="12"/>
    </row>
    <row r="688" spans="1:6" x14ac:dyDescent="0.25">
      <c r="A688" s="11">
        <v>0</v>
      </c>
      <c r="B688" s="11"/>
      <c r="D688" s="12"/>
      <c r="E688" s="19">
        <f t="shared" ca="1" si="10"/>
        <v>42881</v>
      </c>
      <c r="F688" s="12"/>
    </row>
    <row r="689" spans="1:6" x14ac:dyDescent="0.25">
      <c r="A689" s="11">
        <v>0</v>
      </c>
      <c r="B689" s="11"/>
      <c r="D689" s="12"/>
      <c r="E689" s="19">
        <f t="shared" ca="1" si="10"/>
        <v>42881</v>
      </c>
      <c r="F689" s="12"/>
    </row>
    <row r="690" spans="1:6" x14ac:dyDescent="0.25">
      <c r="A690" s="11">
        <v>0</v>
      </c>
      <c r="B690" s="11"/>
      <c r="D690" s="12"/>
      <c r="E690" s="19">
        <f t="shared" ca="1" si="10"/>
        <v>42881</v>
      </c>
      <c r="F690" s="12"/>
    </row>
    <row r="691" spans="1:6" x14ac:dyDescent="0.25">
      <c r="A691" s="11">
        <v>0</v>
      </c>
      <c r="B691" s="11"/>
      <c r="D691" s="12"/>
      <c r="E691" s="19">
        <f t="shared" ca="1" si="10"/>
        <v>42881</v>
      </c>
      <c r="F691" s="12"/>
    </row>
    <row r="692" spans="1:6" x14ac:dyDescent="0.25">
      <c r="A692" s="11">
        <v>0</v>
      </c>
      <c r="B692" s="11"/>
      <c r="D692" s="12"/>
      <c r="E692" s="19">
        <f t="shared" ca="1" si="10"/>
        <v>42881</v>
      </c>
      <c r="F692" s="12"/>
    </row>
    <row r="693" spans="1:6" x14ac:dyDescent="0.25">
      <c r="A693" s="11">
        <v>0</v>
      </c>
      <c r="B693" s="11"/>
      <c r="D693" s="12"/>
      <c r="E693" s="19">
        <f t="shared" ca="1" si="10"/>
        <v>42881</v>
      </c>
      <c r="F693" s="12"/>
    </row>
    <row r="694" spans="1:6" x14ac:dyDescent="0.25">
      <c r="A694" s="11">
        <v>0</v>
      </c>
      <c r="B694" s="11"/>
      <c r="D694" s="12"/>
      <c r="E694" s="19">
        <f t="shared" ca="1" si="10"/>
        <v>42881</v>
      </c>
      <c r="F694" s="12"/>
    </row>
    <row r="695" spans="1:6" x14ac:dyDescent="0.25">
      <c r="A695" s="11">
        <v>0</v>
      </c>
      <c r="B695" s="11"/>
      <c r="D695" s="12"/>
      <c r="E695" s="19">
        <f t="shared" ca="1" si="10"/>
        <v>42881</v>
      </c>
      <c r="F695" s="12"/>
    </row>
    <row r="696" spans="1:6" x14ac:dyDescent="0.25">
      <c r="A696" s="11">
        <v>0</v>
      </c>
      <c r="B696" s="11"/>
      <c r="D696" s="12"/>
      <c r="E696" s="19">
        <f t="shared" ca="1" si="10"/>
        <v>42881</v>
      </c>
      <c r="F696" s="12"/>
    </row>
    <row r="697" spans="1:6" x14ac:dyDescent="0.25">
      <c r="A697" s="11">
        <v>0</v>
      </c>
      <c r="B697" s="11"/>
      <c r="D697" s="12"/>
      <c r="E697" s="19">
        <f t="shared" ca="1" si="10"/>
        <v>42881</v>
      </c>
      <c r="F697" s="12"/>
    </row>
    <row r="698" spans="1:6" x14ac:dyDescent="0.25">
      <c r="A698" s="11">
        <v>0</v>
      </c>
      <c r="B698" s="11"/>
      <c r="D698" s="12"/>
      <c r="E698" s="19">
        <f t="shared" ca="1" si="10"/>
        <v>42881</v>
      </c>
      <c r="F698" s="12"/>
    </row>
    <row r="699" spans="1:6" x14ac:dyDescent="0.25">
      <c r="A699" s="11">
        <v>0</v>
      </c>
      <c r="B699" s="11"/>
      <c r="D699" s="12"/>
      <c r="E699" s="19">
        <f t="shared" ca="1" si="10"/>
        <v>42881</v>
      </c>
      <c r="F699" s="12"/>
    </row>
    <row r="700" spans="1:6" x14ac:dyDescent="0.25">
      <c r="A700" s="11">
        <v>0</v>
      </c>
      <c r="B700" s="11"/>
      <c r="D700" s="12"/>
      <c r="E700" s="19">
        <f t="shared" ca="1" si="10"/>
        <v>42881</v>
      </c>
      <c r="F700" s="12"/>
    </row>
    <row r="701" spans="1:6" x14ac:dyDescent="0.25">
      <c r="A701" s="11">
        <v>0</v>
      </c>
      <c r="B701" s="11"/>
      <c r="D701" s="12"/>
      <c r="E701" s="19">
        <f t="shared" ca="1" si="10"/>
        <v>42881</v>
      </c>
      <c r="F701" s="12"/>
    </row>
    <row r="702" spans="1:6" x14ac:dyDescent="0.25">
      <c r="A702" s="11">
        <v>0</v>
      </c>
      <c r="B702" s="11"/>
      <c r="D702" s="12"/>
      <c r="E702" s="19">
        <f t="shared" ca="1" si="10"/>
        <v>42881</v>
      </c>
      <c r="F702" s="12"/>
    </row>
    <row r="703" spans="1:6" x14ac:dyDescent="0.25">
      <c r="A703" s="11">
        <v>0</v>
      </c>
      <c r="B703" s="11"/>
      <c r="D703" s="12"/>
      <c r="E703" s="19">
        <f t="shared" ca="1" si="10"/>
        <v>42881</v>
      </c>
      <c r="F703" s="12"/>
    </row>
    <row r="704" spans="1:6" x14ac:dyDescent="0.25">
      <c r="A704" s="11">
        <v>0</v>
      </c>
      <c r="B704" s="11"/>
      <c r="D704" s="12"/>
      <c r="E704" s="19">
        <f t="shared" ca="1" si="10"/>
        <v>42881</v>
      </c>
      <c r="F704" s="12"/>
    </row>
    <row r="705" spans="1:6" x14ac:dyDescent="0.25">
      <c r="A705" s="11">
        <v>0</v>
      </c>
      <c r="B705" s="11"/>
      <c r="D705" s="12"/>
      <c r="E705" s="19">
        <f t="shared" ca="1" si="10"/>
        <v>42881</v>
      </c>
      <c r="F705" s="12"/>
    </row>
    <row r="706" spans="1:6" x14ac:dyDescent="0.25">
      <c r="A706" s="11">
        <v>0</v>
      </c>
      <c r="B706" s="11"/>
      <c r="D706" s="12"/>
      <c r="E706" s="19">
        <f t="shared" ca="1" si="10"/>
        <v>42881</v>
      </c>
      <c r="F706" s="12"/>
    </row>
    <row r="707" spans="1:6" x14ac:dyDescent="0.25">
      <c r="A707" s="11">
        <v>0</v>
      </c>
      <c r="B707" s="11"/>
      <c r="D707" s="12"/>
      <c r="E707" s="19">
        <f t="shared" ref="E707:E770" ca="1" si="11">TODAY()</f>
        <v>42881</v>
      </c>
      <c r="F707" s="12"/>
    </row>
    <row r="708" spans="1:6" x14ac:dyDescent="0.25">
      <c r="A708" s="11">
        <v>0</v>
      </c>
      <c r="B708" s="11"/>
      <c r="D708" s="12"/>
      <c r="E708" s="19">
        <f t="shared" ca="1" si="11"/>
        <v>42881</v>
      </c>
      <c r="F708" s="12"/>
    </row>
    <row r="709" spans="1:6" x14ac:dyDescent="0.25">
      <c r="A709" s="11">
        <v>0</v>
      </c>
      <c r="B709" s="11"/>
      <c r="D709" s="12"/>
      <c r="E709" s="19">
        <f t="shared" ca="1" si="11"/>
        <v>42881</v>
      </c>
      <c r="F709" s="12"/>
    </row>
    <row r="710" spans="1:6" x14ac:dyDescent="0.25">
      <c r="A710" s="11">
        <v>0</v>
      </c>
      <c r="B710" s="11"/>
      <c r="D710" s="12"/>
      <c r="E710" s="19">
        <f t="shared" ca="1" si="11"/>
        <v>42881</v>
      </c>
      <c r="F710" s="12"/>
    </row>
    <row r="711" spans="1:6" x14ac:dyDescent="0.25">
      <c r="A711" s="11">
        <v>0</v>
      </c>
      <c r="B711" s="11"/>
      <c r="D711" s="12"/>
      <c r="E711" s="19">
        <f t="shared" ca="1" si="11"/>
        <v>42881</v>
      </c>
      <c r="F711" s="12"/>
    </row>
    <row r="712" spans="1:6" x14ac:dyDescent="0.25">
      <c r="A712" s="11">
        <v>0</v>
      </c>
      <c r="B712" s="11"/>
      <c r="D712" s="12"/>
      <c r="E712" s="19">
        <f t="shared" ca="1" si="11"/>
        <v>42881</v>
      </c>
      <c r="F712" s="12"/>
    </row>
    <row r="713" spans="1:6" x14ac:dyDescent="0.25">
      <c r="A713" s="11">
        <v>0</v>
      </c>
      <c r="B713" s="11"/>
      <c r="D713" s="12"/>
      <c r="E713" s="19">
        <f t="shared" ca="1" si="11"/>
        <v>42881</v>
      </c>
      <c r="F713" s="12"/>
    </row>
    <row r="714" spans="1:6" x14ac:dyDescent="0.25">
      <c r="A714" s="11">
        <v>0</v>
      </c>
      <c r="B714" s="11"/>
      <c r="D714" s="12"/>
      <c r="E714" s="19">
        <f t="shared" ca="1" si="11"/>
        <v>42881</v>
      </c>
      <c r="F714" s="12"/>
    </row>
    <row r="715" spans="1:6" x14ac:dyDescent="0.25">
      <c r="A715" s="11">
        <v>0</v>
      </c>
      <c r="B715" s="11"/>
      <c r="D715" s="12"/>
      <c r="E715" s="19">
        <f t="shared" ca="1" si="11"/>
        <v>42881</v>
      </c>
      <c r="F715" s="12"/>
    </row>
    <row r="716" spans="1:6" x14ac:dyDescent="0.25">
      <c r="A716" s="11">
        <v>0</v>
      </c>
      <c r="B716" s="11"/>
      <c r="D716" s="12"/>
      <c r="E716" s="19">
        <f t="shared" ca="1" si="11"/>
        <v>42881</v>
      </c>
      <c r="F716" s="12"/>
    </row>
    <row r="717" spans="1:6" x14ac:dyDescent="0.25">
      <c r="A717" s="11">
        <v>0</v>
      </c>
      <c r="B717" s="11"/>
      <c r="D717" s="12"/>
      <c r="E717" s="19">
        <f t="shared" ca="1" si="11"/>
        <v>42881</v>
      </c>
      <c r="F717" s="12"/>
    </row>
    <row r="718" spans="1:6" x14ac:dyDescent="0.25">
      <c r="A718" s="11">
        <v>0</v>
      </c>
      <c r="B718" s="11"/>
      <c r="D718" s="12"/>
      <c r="E718" s="19">
        <f t="shared" ca="1" si="11"/>
        <v>42881</v>
      </c>
      <c r="F718" s="12"/>
    </row>
    <row r="719" spans="1:6" x14ac:dyDescent="0.25">
      <c r="A719" s="11">
        <v>0</v>
      </c>
      <c r="B719" s="11"/>
      <c r="D719" s="12"/>
      <c r="E719" s="19">
        <f t="shared" ca="1" si="11"/>
        <v>42881</v>
      </c>
      <c r="F719" s="12"/>
    </row>
    <row r="720" spans="1:6" x14ac:dyDescent="0.25">
      <c r="A720" s="11">
        <v>0</v>
      </c>
      <c r="B720" s="11"/>
      <c r="D720" s="12"/>
      <c r="E720" s="19">
        <f t="shared" ca="1" si="11"/>
        <v>42881</v>
      </c>
      <c r="F720" s="12"/>
    </row>
    <row r="721" spans="1:6" x14ac:dyDescent="0.25">
      <c r="A721" s="11">
        <v>0</v>
      </c>
      <c r="B721" s="11"/>
      <c r="D721" s="12"/>
      <c r="E721" s="19">
        <f t="shared" ca="1" si="11"/>
        <v>42881</v>
      </c>
      <c r="F721" s="12"/>
    </row>
    <row r="722" spans="1:6" x14ac:dyDescent="0.25">
      <c r="A722" s="11">
        <v>0</v>
      </c>
      <c r="B722" s="11"/>
      <c r="D722" s="12"/>
      <c r="E722" s="19">
        <f t="shared" ca="1" si="11"/>
        <v>42881</v>
      </c>
      <c r="F722" s="12"/>
    </row>
    <row r="723" spans="1:6" x14ac:dyDescent="0.25">
      <c r="A723" s="11">
        <v>0</v>
      </c>
      <c r="B723" s="11"/>
      <c r="D723" s="12"/>
      <c r="E723" s="19">
        <f t="shared" ca="1" si="11"/>
        <v>42881</v>
      </c>
      <c r="F723" s="12"/>
    </row>
    <row r="724" spans="1:6" x14ac:dyDescent="0.25">
      <c r="A724" s="11">
        <v>0</v>
      </c>
      <c r="B724" s="11"/>
      <c r="D724" s="12"/>
      <c r="E724" s="19">
        <f t="shared" ca="1" si="11"/>
        <v>42881</v>
      </c>
      <c r="F724" s="12"/>
    </row>
    <row r="725" spans="1:6" x14ac:dyDescent="0.25">
      <c r="A725" s="11">
        <v>0</v>
      </c>
      <c r="B725" s="11"/>
      <c r="D725" s="12"/>
      <c r="E725" s="19">
        <f t="shared" ca="1" si="11"/>
        <v>42881</v>
      </c>
      <c r="F725" s="12"/>
    </row>
    <row r="726" spans="1:6" x14ac:dyDescent="0.25">
      <c r="A726" s="11">
        <v>0</v>
      </c>
      <c r="B726" s="11"/>
      <c r="D726" s="12"/>
      <c r="E726" s="19">
        <f t="shared" ca="1" si="11"/>
        <v>42881</v>
      </c>
      <c r="F726" s="12"/>
    </row>
    <row r="727" spans="1:6" x14ac:dyDescent="0.25">
      <c r="A727" s="11">
        <v>0</v>
      </c>
      <c r="B727" s="11"/>
      <c r="D727" s="12"/>
      <c r="E727" s="19">
        <f t="shared" ca="1" si="11"/>
        <v>42881</v>
      </c>
      <c r="F727" s="12"/>
    </row>
    <row r="728" spans="1:6" x14ac:dyDescent="0.25">
      <c r="A728" s="11">
        <v>0</v>
      </c>
      <c r="B728" s="11"/>
      <c r="D728" s="12"/>
      <c r="E728" s="19">
        <f t="shared" ca="1" si="11"/>
        <v>42881</v>
      </c>
      <c r="F728" s="12"/>
    </row>
    <row r="729" spans="1:6" x14ac:dyDescent="0.25">
      <c r="A729" s="11">
        <v>0</v>
      </c>
      <c r="B729" s="11"/>
      <c r="D729" s="12"/>
      <c r="E729" s="19">
        <f t="shared" ca="1" si="11"/>
        <v>42881</v>
      </c>
      <c r="F729" s="12"/>
    </row>
    <row r="730" spans="1:6" x14ac:dyDescent="0.25">
      <c r="A730" s="11">
        <v>0</v>
      </c>
      <c r="B730" s="11"/>
      <c r="D730" s="12"/>
      <c r="E730" s="19">
        <f t="shared" ca="1" si="11"/>
        <v>42881</v>
      </c>
      <c r="F730" s="12"/>
    </row>
    <row r="731" spans="1:6" x14ac:dyDescent="0.25">
      <c r="A731" s="11">
        <v>0</v>
      </c>
      <c r="B731" s="11"/>
      <c r="D731" s="12"/>
      <c r="E731" s="19">
        <f t="shared" ca="1" si="11"/>
        <v>42881</v>
      </c>
      <c r="F731" s="12"/>
    </row>
    <row r="732" spans="1:6" x14ac:dyDescent="0.25">
      <c r="A732" s="11">
        <v>0</v>
      </c>
      <c r="B732" s="11"/>
      <c r="D732" s="12"/>
      <c r="E732" s="19">
        <f t="shared" ca="1" si="11"/>
        <v>42881</v>
      </c>
      <c r="F732" s="12"/>
    </row>
    <row r="733" spans="1:6" x14ac:dyDescent="0.25">
      <c r="A733" s="11">
        <v>0</v>
      </c>
      <c r="B733" s="11"/>
      <c r="D733" s="12"/>
      <c r="E733" s="19">
        <f t="shared" ca="1" si="11"/>
        <v>42881</v>
      </c>
      <c r="F733" s="12"/>
    </row>
    <row r="734" spans="1:6" x14ac:dyDescent="0.25">
      <c r="A734" s="11">
        <v>0</v>
      </c>
      <c r="B734" s="11"/>
      <c r="D734" s="12"/>
      <c r="E734" s="19">
        <f t="shared" ca="1" si="11"/>
        <v>42881</v>
      </c>
      <c r="F734" s="12"/>
    </row>
    <row r="735" spans="1:6" x14ac:dyDescent="0.25">
      <c r="A735" s="11">
        <v>0</v>
      </c>
      <c r="B735" s="11"/>
      <c r="D735" s="12"/>
      <c r="E735" s="19">
        <f t="shared" ca="1" si="11"/>
        <v>42881</v>
      </c>
      <c r="F735" s="12"/>
    </row>
    <row r="736" spans="1:6" x14ac:dyDescent="0.25">
      <c r="A736" s="11">
        <v>0</v>
      </c>
      <c r="B736" s="11"/>
      <c r="D736" s="12"/>
      <c r="E736" s="19">
        <f t="shared" ca="1" si="11"/>
        <v>42881</v>
      </c>
      <c r="F736" s="12"/>
    </row>
    <row r="737" spans="1:6" x14ac:dyDescent="0.25">
      <c r="A737" s="11">
        <v>0</v>
      </c>
      <c r="B737" s="11"/>
      <c r="D737" s="12"/>
      <c r="E737" s="19">
        <f t="shared" ca="1" si="11"/>
        <v>42881</v>
      </c>
      <c r="F737" s="12"/>
    </row>
    <row r="738" spans="1:6" x14ac:dyDescent="0.25">
      <c r="A738" s="11">
        <v>0</v>
      </c>
      <c r="B738" s="11"/>
      <c r="D738" s="12"/>
      <c r="E738" s="19">
        <f t="shared" ca="1" si="11"/>
        <v>42881</v>
      </c>
      <c r="F738" s="12"/>
    </row>
    <row r="739" spans="1:6" x14ac:dyDescent="0.25">
      <c r="A739" s="11">
        <v>0</v>
      </c>
      <c r="B739" s="11"/>
      <c r="D739" s="12"/>
      <c r="E739" s="19">
        <f t="shared" ca="1" si="11"/>
        <v>42881</v>
      </c>
      <c r="F739" s="12"/>
    </row>
    <row r="740" spans="1:6" x14ac:dyDescent="0.25">
      <c r="A740" s="11">
        <v>0</v>
      </c>
      <c r="B740" s="11"/>
      <c r="D740" s="12"/>
      <c r="E740" s="19">
        <f t="shared" ca="1" si="11"/>
        <v>42881</v>
      </c>
      <c r="F740" s="12"/>
    </row>
    <row r="741" spans="1:6" x14ac:dyDescent="0.25">
      <c r="A741" s="11">
        <v>0</v>
      </c>
      <c r="B741" s="11"/>
      <c r="D741" s="12"/>
      <c r="E741" s="19">
        <f t="shared" ca="1" si="11"/>
        <v>42881</v>
      </c>
      <c r="F741" s="12"/>
    </row>
    <row r="742" spans="1:6" x14ac:dyDescent="0.25">
      <c r="A742" s="11">
        <v>0</v>
      </c>
      <c r="B742" s="11"/>
      <c r="D742" s="12"/>
      <c r="E742" s="19">
        <f t="shared" ca="1" si="11"/>
        <v>42881</v>
      </c>
      <c r="F742" s="12"/>
    </row>
    <row r="743" spans="1:6" x14ac:dyDescent="0.25">
      <c r="A743" s="11">
        <v>0</v>
      </c>
      <c r="B743" s="11"/>
      <c r="D743" s="12"/>
      <c r="E743" s="19">
        <f t="shared" ca="1" si="11"/>
        <v>42881</v>
      </c>
      <c r="F743" s="12"/>
    </row>
    <row r="744" spans="1:6" x14ac:dyDescent="0.25">
      <c r="A744" s="11">
        <v>0</v>
      </c>
      <c r="B744" s="11"/>
      <c r="D744" s="12"/>
      <c r="E744" s="19">
        <f t="shared" ca="1" si="11"/>
        <v>42881</v>
      </c>
      <c r="F744" s="12"/>
    </row>
    <row r="745" spans="1:6" x14ac:dyDescent="0.25">
      <c r="A745" s="11">
        <v>0</v>
      </c>
      <c r="B745" s="11"/>
      <c r="D745" s="12"/>
      <c r="E745" s="19">
        <f t="shared" ca="1" si="11"/>
        <v>42881</v>
      </c>
      <c r="F745" s="12"/>
    </row>
    <row r="746" spans="1:6" x14ac:dyDescent="0.25">
      <c r="A746" s="11">
        <v>0</v>
      </c>
      <c r="B746" s="11"/>
      <c r="D746" s="12"/>
      <c r="E746" s="19">
        <f t="shared" ca="1" si="11"/>
        <v>42881</v>
      </c>
      <c r="F746" s="12"/>
    </row>
    <row r="747" spans="1:6" x14ac:dyDescent="0.25">
      <c r="A747" s="11">
        <v>0</v>
      </c>
      <c r="B747" s="11"/>
      <c r="D747" s="12"/>
      <c r="E747" s="19">
        <f t="shared" ca="1" si="11"/>
        <v>42881</v>
      </c>
      <c r="F747" s="12"/>
    </row>
    <row r="748" spans="1:6" x14ac:dyDescent="0.25">
      <c r="A748" s="11">
        <v>0</v>
      </c>
      <c r="B748" s="11"/>
      <c r="D748" s="12"/>
      <c r="E748" s="19">
        <f t="shared" ca="1" si="11"/>
        <v>42881</v>
      </c>
      <c r="F748" s="12"/>
    </row>
    <row r="749" spans="1:6" x14ac:dyDescent="0.25">
      <c r="A749" s="11">
        <v>0</v>
      </c>
      <c r="B749" s="11"/>
      <c r="D749" s="12"/>
      <c r="E749" s="19">
        <f t="shared" ca="1" si="11"/>
        <v>42881</v>
      </c>
      <c r="F749" s="12"/>
    </row>
    <row r="750" spans="1:6" x14ac:dyDescent="0.25">
      <c r="A750" s="11">
        <v>0</v>
      </c>
      <c r="B750" s="11"/>
      <c r="D750" s="12"/>
      <c r="E750" s="19">
        <f t="shared" ca="1" si="11"/>
        <v>42881</v>
      </c>
      <c r="F750" s="12"/>
    </row>
    <row r="751" spans="1:6" x14ac:dyDescent="0.25">
      <c r="A751" s="11">
        <v>0</v>
      </c>
      <c r="B751" s="11"/>
      <c r="D751" s="12"/>
      <c r="E751" s="19">
        <f t="shared" ca="1" si="11"/>
        <v>42881</v>
      </c>
      <c r="F751" s="12"/>
    </row>
    <row r="752" spans="1:6" x14ac:dyDescent="0.25">
      <c r="A752" s="11">
        <v>0</v>
      </c>
      <c r="B752" s="11"/>
      <c r="D752" s="12"/>
      <c r="E752" s="19">
        <f t="shared" ca="1" si="11"/>
        <v>42881</v>
      </c>
      <c r="F752" s="12"/>
    </row>
    <row r="753" spans="1:6" x14ac:dyDescent="0.25">
      <c r="A753" s="11">
        <v>0</v>
      </c>
      <c r="B753" s="11"/>
      <c r="D753" s="12"/>
      <c r="E753" s="19">
        <f t="shared" ca="1" si="11"/>
        <v>42881</v>
      </c>
      <c r="F753" s="12"/>
    </row>
    <row r="754" spans="1:6" x14ac:dyDescent="0.25">
      <c r="A754" s="11">
        <v>0</v>
      </c>
      <c r="B754" s="11"/>
      <c r="D754" s="12"/>
      <c r="E754" s="19">
        <f t="shared" ca="1" si="11"/>
        <v>42881</v>
      </c>
      <c r="F754" s="12"/>
    </row>
    <row r="755" spans="1:6" x14ac:dyDescent="0.25">
      <c r="A755" s="11">
        <v>0</v>
      </c>
      <c r="B755" s="11"/>
      <c r="D755" s="12"/>
      <c r="E755" s="19">
        <f t="shared" ca="1" si="11"/>
        <v>42881</v>
      </c>
      <c r="F755" s="12"/>
    </row>
    <row r="756" spans="1:6" x14ac:dyDescent="0.25">
      <c r="A756" s="11">
        <v>0</v>
      </c>
      <c r="B756" s="11"/>
      <c r="D756" s="12"/>
      <c r="E756" s="19">
        <f t="shared" ca="1" si="11"/>
        <v>42881</v>
      </c>
      <c r="F756" s="12"/>
    </row>
    <row r="757" spans="1:6" x14ac:dyDescent="0.25">
      <c r="A757" s="11">
        <v>0</v>
      </c>
      <c r="B757" s="11"/>
      <c r="D757" s="12"/>
      <c r="E757" s="19">
        <f t="shared" ca="1" si="11"/>
        <v>42881</v>
      </c>
      <c r="F757" s="12"/>
    </row>
    <row r="758" spans="1:6" x14ac:dyDescent="0.25">
      <c r="A758" s="11">
        <v>0</v>
      </c>
      <c r="B758" s="11"/>
      <c r="D758" s="12"/>
      <c r="E758" s="19">
        <f t="shared" ca="1" si="11"/>
        <v>42881</v>
      </c>
      <c r="F758" s="12"/>
    </row>
    <row r="759" spans="1:6" x14ac:dyDescent="0.25">
      <c r="A759" s="11">
        <v>0</v>
      </c>
      <c r="B759" s="11"/>
      <c r="D759" s="12"/>
      <c r="E759" s="19">
        <f t="shared" ca="1" si="11"/>
        <v>42881</v>
      </c>
      <c r="F759" s="12"/>
    </row>
    <row r="760" spans="1:6" x14ac:dyDescent="0.25">
      <c r="A760" s="11">
        <v>0</v>
      </c>
      <c r="B760" s="11"/>
      <c r="D760" s="12"/>
      <c r="E760" s="19">
        <f t="shared" ca="1" si="11"/>
        <v>42881</v>
      </c>
      <c r="F760" s="12"/>
    </row>
    <row r="761" spans="1:6" x14ac:dyDescent="0.25">
      <c r="A761" s="11">
        <v>0</v>
      </c>
      <c r="B761" s="11"/>
      <c r="D761" s="12"/>
      <c r="E761" s="19">
        <f t="shared" ca="1" si="11"/>
        <v>42881</v>
      </c>
      <c r="F761" s="12"/>
    </row>
    <row r="762" spans="1:6" x14ac:dyDescent="0.25">
      <c r="A762" s="11">
        <v>0</v>
      </c>
      <c r="B762" s="11"/>
      <c r="D762" s="12"/>
      <c r="E762" s="19">
        <f t="shared" ca="1" si="11"/>
        <v>42881</v>
      </c>
      <c r="F762" s="12"/>
    </row>
    <row r="763" spans="1:6" x14ac:dyDescent="0.25">
      <c r="A763" s="11">
        <v>0</v>
      </c>
      <c r="B763" s="11"/>
      <c r="D763" s="12"/>
      <c r="E763" s="19">
        <f t="shared" ca="1" si="11"/>
        <v>42881</v>
      </c>
      <c r="F763" s="12"/>
    </row>
    <row r="764" spans="1:6" x14ac:dyDescent="0.25">
      <c r="A764" s="11">
        <v>0</v>
      </c>
      <c r="B764" s="11"/>
      <c r="D764" s="12"/>
      <c r="E764" s="19">
        <f t="shared" ca="1" si="11"/>
        <v>42881</v>
      </c>
      <c r="F764" s="12"/>
    </row>
    <row r="765" spans="1:6" x14ac:dyDescent="0.25">
      <c r="A765" s="11">
        <v>0</v>
      </c>
      <c r="B765" s="11"/>
      <c r="D765" s="12"/>
      <c r="E765" s="19">
        <f t="shared" ca="1" si="11"/>
        <v>42881</v>
      </c>
      <c r="F765" s="12"/>
    </row>
    <row r="766" spans="1:6" x14ac:dyDescent="0.25">
      <c r="A766" s="11">
        <v>0</v>
      </c>
      <c r="B766" s="11"/>
      <c r="D766" s="12"/>
      <c r="E766" s="19">
        <f t="shared" ca="1" si="11"/>
        <v>42881</v>
      </c>
      <c r="F766" s="12"/>
    </row>
    <row r="767" spans="1:6" x14ac:dyDescent="0.25">
      <c r="A767" s="11">
        <v>0</v>
      </c>
      <c r="B767" s="11"/>
      <c r="D767" s="12"/>
      <c r="E767" s="19">
        <f t="shared" ca="1" si="11"/>
        <v>42881</v>
      </c>
      <c r="F767" s="12"/>
    </row>
    <row r="768" spans="1:6" x14ac:dyDescent="0.25">
      <c r="A768" s="11">
        <v>0</v>
      </c>
      <c r="B768" s="11"/>
      <c r="D768" s="12"/>
      <c r="E768" s="19">
        <f t="shared" ca="1" si="11"/>
        <v>42881</v>
      </c>
      <c r="F768" s="12"/>
    </row>
    <row r="769" spans="1:6" x14ac:dyDescent="0.25">
      <c r="A769" s="11">
        <v>0</v>
      </c>
      <c r="B769" s="11"/>
      <c r="D769" s="12"/>
      <c r="E769" s="19">
        <f t="shared" ca="1" si="11"/>
        <v>42881</v>
      </c>
      <c r="F769" s="12"/>
    </row>
    <row r="770" spans="1:6" x14ac:dyDescent="0.25">
      <c r="A770" s="11">
        <v>0</v>
      </c>
      <c r="B770" s="11"/>
      <c r="D770" s="12"/>
      <c r="E770" s="19">
        <f t="shared" ca="1" si="11"/>
        <v>42881</v>
      </c>
      <c r="F770" s="12"/>
    </row>
    <row r="771" spans="1:6" x14ac:dyDescent="0.25">
      <c r="A771" s="11">
        <v>0</v>
      </c>
      <c r="B771" s="11"/>
      <c r="D771" s="12"/>
      <c r="E771" s="19">
        <f t="shared" ref="E771:E800" ca="1" si="12">TODAY()</f>
        <v>42881</v>
      </c>
      <c r="F771" s="12"/>
    </row>
    <row r="772" spans="1:6" x14ac:dyDescent="0.25">
      <c r="A772" s="11">
        <v>0</v>
      </c>
      <c r="B772" s="11"/>
      <c r="D772" s="12"/>
      <c r="E772" s="19">
        <f t="shared" ca="1" si="12"/>
        <v>42881</v>
      </c>
      <c r="F772" s="12"/>
    </row>
    <row r="773" spans="1:6" x14ac:dyDescent="0.25">
      <c r="A773" s="11">
        <v>0</v>
      </c>
      <c r="B773" s="11"/>
      <c r="D773" s="12"/>
      <c r="E773" s="19">
        <f t="shared" ca="1" si="12"/>
        <v>42881</v>
      </c>
      <c r="F773" s="12"/>
    </row>
    <row r="774" spans="1:6" x14ac:dyDescent="0.25">
      <c r="A774" s="11">
        <v>0</v>
      </c>
      <c r="B774" s="11"/>
      <c r="D774" s="12"/>
      <c r="E774" s="19">
        <f t="shared" ca="1" si="12"/>
        <v>42881</v>
      </c>
      <c r="F774" s="12"/>
    </row>
    <row r="775" spans="1:6" x14ac:dyDescent="0.25">
      <c r="A775" s="11">
        <v>0</v>
      </c>
      <c r="B775" s="11"/>
      <c r="D775" s="12"/>
      <c r="E775" s="19">
        <f t="shared" ca="1" si="12"/>
        <v>42881</v>
      </c>
      <c r="F775" s="12"/>
    </row>
    <row r="776" spans="1:6" x14ac:dyDescent="0.25">
      <c r="A776" s="11">
        <v>0</v>
      </c>
      <c r="B776" s="11"/>
      <c r="D776" s="12"/>
      <c r="E776" s="19">
        <f t="shared" ca="1" si="12"/>
        <v>42881</v>
      </c>
      <c r="F776" s="12"/>
    </row>
    <row r="777" spans="1:6" x14ac:dyDescent="0.25">
      <c r="A777" s="11">
        <v>0</v>
      </c>
      <c r="B777" s="11"/>
      <c r="D777" s="12"/>
      <c r="E777" s="19">
        <f t="shared" ca="1" si="12"/>
        <v>42881</v>
      </c>
      <c r="F777" s="12"/>
    </row>
    <row r="778" spans="1:6" x14ac:dyDescent="0.25">
      <c r="A778" s="11">
        <v>0</v>
      </c>
      <c r="B778" s="11"/>
      <c r="D778" s="12"/>
      <c r="E778" s="19">
        <f t="shared" ca="1" si="12"/>
        <v>42881</v>
      </c>
      <c r="F778" s="12"/>
    </row>
    <row r="779" spans="1:6" x14ac:dyDescent="0.25">
      <c r="A779" s="11">
        <v>0</v>
      </c>
      <c r="B779" s="11"/>
      <c r="D779" s="12"/>
      <c r="E779" s="19">
        <f t="shared" ca="1" si="12"/>
        <v>42881</v>
      </c>
      <c r="F779" s="12"/>
    </row>
    <row r="780" spans="1:6" x14ac:dyDescent="0.25">
      <c r="A780" s="11">
        <v>0</v>
      </c>
      <c r="B780" s="11"/>
      <c r="D780" s="12"/>
      <c r="E780" s="19">
        <f t="shared" ca="1" si="12"/>
        <v>42881</v>
      </c>
      <c r="F780" s="12"/>
    </row>
    <row r="781" spans="1:6" x14ac:dyDescent="0.25">
      <c r="A781" s="11">
        <v>0</v>
      </c>
      <c r="B781" s="11"/>
      <c r="D781" s="12"/>
      <c r="E781" s="19">
        <f t="shared" ca="1" si="12"/>
        <v>42881</v>
      </c>
      <c r="F781" s="12"/>
    </row>
    <row r="782" spans="1:6" x14ac:dyDescent="0.25">
      <c r="A782" s="11">
        <v>0</v>
      </c>
      <c r="B782" s="11"/>
      <c r="D782" s="12"/>
      <c r="E782" s="19">
        <f t="shared" ca="1" si="12"/>
        <v>42881</v>
      </c>
      <c r="F782" s="12"/>
    </row>
    <row r="783" spans="1:6" x14ac:dyDescent="0.25">
      <c r="A783" s="11">
        <v>0</v>
      </c>
      <c r="B783" s="11"/>
      <c r="D783" s="12"/>
      <c r="E783" s="19">
        <f t="shared" ca="1" si="12"/>
        <v>42881</v>
      </c>
      <c r="F783" s="12"/>
    </row>
    <row r="784" spans="1:6" x14ac:dyDescent="0.25">
      <c r="A784" s="11">
        <v>0</v>
      </c>
      <c r="B784" s="11"/>
      <c r="D784" s="12"/>
      <c r="E784" s="19">
        <f t="shared" ca="1" si="12"/>
        <v>42881</v>
      </c>
      <c r="F784" s="12"/>
    </row>
    <row r="785" spans="1:6" x14ac:dyDescent="0.25">
      <c r="A785" s="11">
        <v>0</v>
      </c>
      <c r="B785" s="11"/>
      <c r="D785" s="12"/>
      <c r="E785" s="19">
        <f t="shared" ca="1" si="12"/>
        <v>42881</v>
      </c>
      <c r="F785" s="12"/>
    </row>
    <row r="786" spans="1:6" x14ac:dyDescent="0.25">
      <c r="A786" s="11">
        <v>0</v>
      </c>
      <c r="B786" s="11"/>
      <c r="D786" s="12"/>
      <c r="E786" s="19">
        <f t="shared" ca="1" si="12"/>
        <v>42881</v>
      </c>
      <c r="F786" s="12"/>
    </row>
    <row r="787" spans="1:6" x14ac:dyDescent="0.25">
      <c r="A787" s="11">
        <v>0</v>
      </c>
      <c r="B787" s="11"/>
      <c r="D787" s="12"/>
      <c r="E787" s="19">
        <f t="shared" ca="1" si="12"/>
        <v>42881</v>
      </c>
      <c r="F787" s="12"/>
    </row>
    <row r="788" spans="1:6" x14ac:dyDescent="0.25">
      <c r="A788" s="11">
        <v>0</v>
      </c>
      <c r="B788" s="11"/>
      <c r="D788" s="12"/>
      <c r="E788" s="19">
        <f t="shared" ca="1" si="12"/>
        <v>42881</v>
      </c>
      <c r="F788" s="12"/>
    </row>
    <row r="789" spans="1:6" x14ac:dyDescent="0.25">
      <c r="A789" s="11">
        <v>0</v>
      </c>
      <c r="B789" s="11"/>
      <c r="D789" s="12"/>
      <c r="E789" s="19">
        <f t="shared" ca="1" si="12"/>
        <v>42881</v>
      </c>
      <c r="F789" s="12"/>
    </row>
    <row r="790" spans="1:6" x14ac:dyDescent="0.25">
      <c r="A790" s="11">
        <v>0</v>
      </c>
      <c r="B790" s="11"/>
      <c r="D790" s="12"/>
      <c r="E790" s="19">
        <f t="shared" ca="1" si="12"/>
        <v>42881</v>
      </c>
      <c r="F790" s="12"/>
    </row>
    <row r="791" spans="1:6" x14ac:dyDescent="0.25">
      <c r="A791" s="11">
        <v>0</v>
      </c>
      <c r="B791" s="11"/>
      <c r="D791" s="12"/>
      <c r="E791" s="19">
        <f t="shared" ca="1" si="12"/>
        <v>42881</v>
      </c>
      <c r="F791" s="12"/>
    </row>
    <row r="792" spans="1:6" x14ac:dyDescent="0.25">
      <c r="A792" s="11">
        <v>0</v>
      </c>
      <c r="B792" s="11"/>
      <c r="D792" s="12"/>
      <c r="E792" s="19">
        <f t="shared" ca="1" si="12"/>
        <v>42881</v>
      </c>
      <c r="F792" s="12"/>
    </row>
    <row r="793" spans="1:6" x14ac:dyDescent="0.25">
      <c r="A793" s="11">
        <v>0</v>
      </c>
      <c r="B793" s="11"/>
      <c r="D793" s="12"/>
      <c r="E793" s="19">
        <f t="shared" ca="1" si="12"/>
        <v>42881</v>
      </c>
      <c r="F793" s="12"/>
    </row>
    <row r="794" spans="1:6" x14ac:dyDescent="0.25">
      <c r="A794" s="11">
        <v>0</v>
      </c>
      <c r="B794" s="11"/>
      <c r="D794" s="12"/>
      <c r="E794" s="19">
        <f t="shared" ca="1" si="12"/>
        <v>42881</v>
      </c>
      <c r="F794" s="12"/>
    </row>
    <row r="795" spans="1:6" x14ac:dyDescent="0.25">
      <c r="A795" s="11">
        <v>0</v>
      </c>
      <c r="B795" s="11"/>
      <c r="D795" s="12"/>
      <c r="E795" s="19">
        <f t="shared" ca="1" si="12"/>
        <v>42881</v>
      </c>
      <c r="F795" s="12"/>
    </row>
    <row r="796" spans="1:6" x14ac:dyDescent="0.25">
      <c r="A796" s="11">
        <v>0</v>
      </c>
      <c r="B796" s="11"/>
      <c r="D796" s="12"/>
      <c r="E796" s="19">
        <f t="shared" ca="1" si="12"/>
        <v>42881</v>
      </c>
      <c r="F796" s="12"/>
    </row>
    <row r="797" spans="1:6" x14ac:dyDescent="0.25">
      <c r="A797" s="11">
        <v>0</v>
      </c>
      <c r="B797" s="11"/>
      <c r="D797" s="12"/>
      <c r="E797" s="19">
        <f t="shared" ca="1" si="12"/>
        <v>42881</v>
      </c>
      <c r="F797" s="12"/>
    </row>
    <row r="798" spans="1:6" x14ac:dyDescent="0.25">
      <c r="A798" s="11">
        <v>0</v>
      </c>
      <c r="B798" s="11"/>
      <c r="D798" s="12"/>
      <c r="E798" s="19">
        <f t="shared" ca="1" si="12"/>
        <v>42881</v>
      </c>
      <c r="F798" s="12"/>
    </row>
    <row r="799" spans="1:6" x14ac:dyDescent="0.25">
      <c r="A799" s="11">
        <v>0</v>
      </c>
      <c r="B799" s="11"/>
      <c r="D799" s="12"/>
      <c r="E799" s="19">
        <f t="shared" ca="1" si="12"/>
        <v>42881</v>
      </c>
      <c r="F799" s="12"/>
    </row>
    <row r="800" spans="1:6" x14ac:dyDescent="0.25">
      <c r="A800" s="11">
        <v>0</v>
      </c>
      <c r="B800" s="11"/>
      <c r="D800" s="12"/>
      <c r="E800" s="19">
        <f t="shared" ca="1" si="12"/>
        <v>42881</v>
      </c>
      <c r="F800" s="12"/>
    </row>
    <row r="801" spans="1:6" x14ac:dyDescent="0.25">
      <c r="A801" s="11">
        <v>0</v>
      </c>
      <c r="B801" s="11"/>
      <c r="D801" s="12"/>
      <c r="E801" s="12"/>
      <c r="F801" s="12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2347"/>
  <sheetViews>
    <sheetView topLeftCell="A2319" workbookViewId="0">
      <selection activeCell="B2346" sqref="B2346:B2347"/>
    </sheetView>
  </sheetViews>
  <sheetFormatPr defaultRowHeight="15" x14ac:dyDescent="0.25"/>
  <cols>
    <col min="1" max="1" width="6.7109375" style="11" customWidth="1"/>
    <col min="2" max="2" width="60.85546875" style="12" customWidth="1"/>
    <col min="3" max="3" width="32.28515625" style="18" customWidth="1"/>
    <col min="4" max="4" width="11.42578125" customWidth="1"/>
  </cols>
  <sheetData>
    <row r="1" spans="1:4" x14ac:dyDescent="0.25">
      <c r="A1" s="9" t="s">
        <v>861</v>
      </c>
      <c r="B1" s="12" t="s">
        <v>860</v>
      </c>
      <c r="C1" s="17"/>
      <c r="D1" s="16"/>
    </row>
    <row r="2" spans="1:4" x14ac:dyDescent="0.25">
      <c r="A2" s="17">
        <v>1</v>
      </c>
      <c r="B2" s="16" t="s">
        <v>2</v>
      </c>
      <c r="C2" s="17"/>
      <c r="D2" s="16"/>
    </row>
    <row r="3" spans="1:4" x14ac:dyDescent="0.25">
      <c r="A3" s="10">
        <v>2</v>
      </c>
      <c r="B3" s="13" t="s">
        <v>4</v>
      </c>
      <c r="C3" s="17"/>
      <c r="D3" s="16"/>
    </row>
    <row r="4" spans="1:4" x14ac:dyDescent="0.25">
      <c r="A4" s="10">
        <v>5</v>
      </c>
      <c r="B4" s="13" t="s">
        <v>6</v>
      </c>
      <c r="C4" s="17"/>
      <c r="D4" s="16"/>
    </row>
    <row r="5" spans="1:4" x14ac:dyDescent="0.25">
      <c r="A5" s="10">
        <v>6</v>
      </c>
      <c r="B5" s="13" t="s">
        <v>8</v>
      </c>
      <c r="C5" s="17"/>
      <c r="D5" s="16"/>
    </row>
    <row r="6" spans="1:4" x14ac:dyDescent="0.25">
      <c r="A6" s="10">
        <v>7</v>
      </c>
      <c r="B6" s="13" t="s">
        <v>10</v>
      </c>
      <c r="C6" s="17"/>
      <c r="D6" s="16"/>
    </row>
    <row r="7" spans="1:4" x14ac:dyDescent="0.25">
      <c r="A7" s="10">
        <v>9</v>
      </c>
      <c r="B7" s="13" t="s">
        <v>12</v>
      </c>
      <c r="C7" s="17"/>
      <c r="D7" s="16"/>
    </row>
    <row r="8" spans="1:4" x14ac:dyDescent="0.25">
      <c r="A8" s="17">
        <v>11</v>
      </c>
      <c r="B8" s="16" t="s">
        <v>13</v>
      </c>
      <c r="C8" s="17"/>
      <c r="D8" s="16"/>
    </row>
    <row r="9" spans="1:4" x14ac:dyDescent="0.25">
      <c r="A9" s="10">
        <v>13</v>
      </c>
      <c r="B9" s="13" t="s">
        <v>15</v>
      </c>
      <c r="C9" s="17"/>
      <c r="D9" s="16"/>
    </row>
    <row r="10" spans="1:4" x14ac:dyDescent="0.25">
      <c r="A10" s="17">
        <v>15</v>
      </c>
      <c r="B10" s="16" t="s">
        <v>16</v>
      </c>
      <c r="C10" s="17"/>
      <c r="D10" s="16"/>
    </row>
    <row r="11" spans="1:4" x14ac:dyDescent="0.25">
      <c r="A11" s="10">
        <v>16</v>
      </c>
      <c r="B11" s="13" t="s">
        <v>18</v>
      </c>
      <c r="C11" s="17"/>
      <c r="D11" s="16"/>
    </row>
    <row r="12" spans="1:4" x14ac:dyDescent="0.25">
      <c r="A12" s="10">
        <v>17</v>
      </c>
      <c r="B12" s="13" t="s">
        <v>20</v>
      </c>
      <c r="C12" s="17"/>
      <c r="D12" s="16"/>
    </row>
    <row r="13" spans="1:4" x14ac:dyDescent="0.25">
      <c r="A13" s="10">
        <v>19</v>
      </c>
      <c r="B13" s="13" t="s">
        <v>22</v>
      </c>
      <c r="C13" s="17"/>
      <c r="D13" s="16"/>
    </row>
    <row r="14" spans="1:4" x14ac:dyDescent="0.25">
      <c r="A14" s="17">
        <v>20</v>
      </c>
      <c r="B14" s="16" t="s">
        <v>978</v>
      </c>
      <c r="C14" s="17"/>
      <c r="D14" s="16"/>
    </row>
    <row r="15" spans="1:4" x14ac:dyDescent="0.25">
      <c r="A15" s="10">
        <v>21</v>
      </c>
      <c r="B15" s="13" t="s">
        <v>24</v>
      </c>
      <c r="C15" s="17"/>
      <c r="D15" s="16"/>
    </row>
    <row r="16" spans="1:4" x14ac:dyDescent="0.25">
      <c r="A16" s="17">
        <v>23</v>
      </c>
      <c r="B16" s="16" t="s">
        <v>25</v>
      </c>
      <c r="C16" s="17"/>
      <c r="D16" s="16"/>
    </row>
    <row r="17" spans="1:4" x14ac:dyDescent="0.25">
      <c r="A17" s="10">
        <v>24</v>
      </c>
      <c r="B17" s="13" t="s">
        <v>862</v>
      </c>
      <c r="C17" s="17"/>
      <c r="D17" s="16"/>
    </row>
    <row r="18" spans="1:4" x14ac:dyDescent="0.25">
      <c r="A18" s="17">
        <v>28</v>
      </c>
      <c r="B18" s="16" t="s">
        <v>26</v>
      </c>
      <c r="C18" s="17"/>
      <c r="D18" s="16"/>
    </row>
    <row r="19" spans="1:4" x14ac:dyDescent="0.25">
      <c r="A19" s="10">
        <v>29</v>
      </c>
      <c r="B19" s="13" t="s">
        <v>28</v>
      </c>
      <c r="C19" s="17"/>
      <c r="D19" s="16"/>
    </row>
    <row r="20" spans="1:4" x14ac:dyDescent="0.25">
      <c r="A20" s="10">
        <v>31</v>
      </c>
      <c r="B20" s="13" t="s">
        <v>30</v>
      </c>
      <c r="C20" s="17"/>
      <c r="D20" s="16"/>
    </row>
    <row r="21" spans="1:4" x14ac:dyDescent="0.25">
      <c r="A21" s="17">
        <v>36</v>
      </c>
      <c r="B21" s="16" t="s">
        <v>31</v>
      </c>
      <c r="C21" s="17"/>
      <c r="D21" s="16"/>
    </row>
    <row r="22" spans="1:4" x14ac:dyDescent="0.25">
      <c r="A22" s="10">
        <v>37</v>
      </c>
      <c r="B22" s="13" t="s">
        <v>33</v>
      </c>
      <c r="C22" s="17"/>
      <c r="D22" s="16"/>
    </row>
    <row r="23" spans="1:4" x14ac:dyDescent="0.25">
      <c r="A23" s="10">
        <v>38</v>
      </c>
      <c r="B23" s="13" t="s">
        <v>863</v>
      </c>
      <c r="C23" s="17"/>
      <c r="D23" s="16"/>
    </row>
    <row r="24" spans="1:4" x14ac:dyDescent="0.25">
      <c r="A24" s="10">
        <v>39</v>
      </c>
      <c r="B24" s="13" t="s">
        <v>35</v>
      </c>
      <c r="C24" s="17"/>
      <c r="D24" s="16"/>
    </row>
    <row r="25" spans="1:4" x14ac:dyDescent="0.25">
      <c r="A25" s="10">
        <v>41</v>
      </c>
      <c r="B25" s="13" t="s">
        <v>37</v>
      </c>
      <c r="C25" s="17"/>
      <c r="D25" s="16"/>
    </row>
    <row r="26" spans="1:4" x14ac:dyDescent="0.25">
      <c r="A26" s="17">
        <v>42</v>
      </c>
      <c r="B26" s="16" t="s">
        <v>38</v>
      </c>
      <c r="C26" s="17"/>
      <c r="D26" s="16"/>
    </row>
    <row r="27" spans="1:4" x14ac:dyDescent="0.25">
      <c r="A27" s="17">
        <v>47</v>
      </c>
      <c r="B27" s="16" t="s">
        <v>39</v>
      </c>
      <c r="C27" s="17"/>
      <c r="D27" s="16"/>
    </row>
    <row r="28" spans="1:4" x14ac:dyDescent="0.25">
      <c r="A28" s="10">
        <v>48</v>
      </c>
      <c r="B28" s="13" t="s">
        <v>41</v>
      </c>
      <c r="C28" s="17"/>
      <c r="D28" s="16"/>
    </row>
    <row r="29" spans="1:4" x14ac:dyDescent="0.25">
      <c r="A29" s="17">
        <v>49</v>
      </c>
      <c r="B29" s="16" t="s">
        <v>42</v>
      </c>
      <c r="C29" s="17"/>
      <c r="D29" s="16"/>
    </row>
    <row r="30" spans="1:4" x14ac:dyDescent="0.25">
      <c r="A30" s="17">
        <v>50</v>
      </c>
      <c r="B30" s="16" t="s">
        <v>43</v>
      </c>
      <c r="C30" s="17"/>
      <c r="D30" s="16"/>
    </row>
    <row r="31" spans="1:4" x14ac:dyDescent="0.25">
      <c r="A31" s="17">
        <v>51</v>
      </c>
      <c r="B31" s="16" t="s">
        <v>44</v>
      </c>
      <c r="C31" s="17"/>
      <c r="D31" s="16"/>
    </row>
    <row r="32" spans="1:4" x14ac:dyDescent="0.25">
      <c r="A32" s="10">
        <v>52</v>
      </c>
      <c r="B32" s="13" t="s">
        <v>864</v>
      </c>
      <c r="C32" s="17"/>
      <c r="D32" s="16"/>
    </row>
    <row r="33" spans="1:4" x14ac:dyDescent="0.25">
      <c r="A33" s="10">
        <v>53</v>
      </c>
      <c r="B33" s="13" t="s">
        <v>46</v>
      </c>
      <c r="C33" s="17"/>
      <c r="D33" s="16"/>
    </row>
    <row r="34" spans="1:4" x14ac:dyDescent="0.25">
      <c r="A34" s="10">
        <v>54</v>
      </c>
      <c r="B34" s="13" t="s">
        <v>48</v>
      </c>
      <c r="C34" s="17"/>
      <c r="D34" s="16"/>
    </row>
    <row r="35" spans="1:4" x14ac:dyDescent="0.25">
      <c r="A35" s="10">
        <v>55</v>
      </c>
      <c r="B35" s="13" t="s">
        <v>50</v>
      </c>
      <c r="C35" s="17"/>
      <c r="D35" s="16"/>
    </row>
    <row r="36" spans="1:4" x14ac:dyDescent="0.25">
      <c r="A36" s="10">
        <v>57</v>
      </c>
      <c r="B36" s="13" t="s">
        <v>865</v>
      </c>
      <c r="C36" s="17"/>
      <c r="D36" s="16"/>
    </row>
    <row r="37" spans="1:4" x14ac:dyDescent="0.25">
      <c r="A37" s="10">
        <v>58</v>
      </c>
      <c r="B37" s="13" t="s">
        <v>52</v>
      </c>
      <c r="C37" s="17"/>
      <c r="D37" s="16"/>
    </row>
    <row r="38" spans="1:4" x14ac:dyDescent="0.25">
      <c r="A38" s="17">
        <v>60</v>
      </c>
      <c r="B38" s="16" t="s">
        <v>979</v>
      </c>
      <c r="C38" s="17"/>
      <c r="D38" s="16"/>
    </row>
    <row r="39" spans="1:4" x14ac:dyDescent="0.25">
      <c r="A39" s="10">
        <v>61</v>
      </c>
      <c r="B39" s="13" t="s">
        <v>54</v>
      </c>
      <c r="C39" s="17"/>
      <c r="D39" s="16"/>
    </row>
    <row r="40" spans="1:4" x14ac:dyDescent="0.25">
      <c r="A40" s="10">
        <v>62</v>
      </c>
      <c r="B40" s="13" t="s">
        <v>866</v>
      </c>
      <c r="C40" s="17"/>
      <c r="D40" s="16"/>
    </row>
    <row r="41" spans="1:4" x14ac:dyDescent="0.25">
      <c r="A41" s="10">
        <v>67</v>
      </c>
      <c r="B41" s="13" t="s">
        <v>56</v>
      </c>
      <c r="C41" s="17"/>
      <c r="D41" s="16"/>
    </row>
    <row r="42" spans="1:4" x14ac:dyDescent="0.25">
      <c r="A42" s="7">
        <v>70</v>
      </c>
      <c r="B42" s="5" t="s">
        <v>57</v>
      </c>
      <c r="C42" s="17"/>
      <c r="D42" s="16"/>
    </row>
    <row r="43" spans="1:4" x14ac:dyDescent="0.25">
      <c r="A43" s="10">
        <v>71</v>
      </c>
      <c r="B43" s="13" t="s">
        <v>59</v>
      </c>
      <c r="C43" s="17"/>
      <c r="D43" s="16"/>
    </row>
    <row r="44" spans="1:4" x14ac:dyDescent="0.25">
      <c r="A44" s="10">
        <v>74</v>
      </c>
      <c r="B44" s="13" t="s">
        <v>61</v>
      </c>
      <c r="C44" s="17"/>
      <c r="D44" s="16"/>
    </row>
    <row r="45" spans="1:4" x14ac:dyDescent="0.25">
      <c r="A45" s="10">
        <v>77</v>
      </c>
      <c r="B45" s="13" t="s">
        <v>867</v>
      </c>
      <c r="C45" s="17"/>
      <c r="D45" s="16"/>
    </row>
    <row r="46" spans="1:4" x14ac:dyDescent="0.25">
      <c r="A46" s="10">
        <v>78</v>
      </c>
      <c r="B46" s="13" t="s">
        <v>63</v>
      </c>
      <c r="C46" s="17"/>
      <c r="D46" s="16"/>
    </row>
    <row r="47" spans="1:4" x14ac:dyDescent="0.25">
      <c r="A47" s="10">
        <v>86</v>
      </c>
      <c r="B47" s="13" t="s">
        <v>65</v>
      </c>
      <c r="C47" s="17"/>
      <c r="D47" s="16"/>
    </row>
    <row r="48" spans="1:4" x14ac:dyDescent="0.25">
      <c r="A48" s="17">
        <v>89</v>
      </c>
      <c r="B48" s="16" t="s">
        <v>980</v>
      </c>
      <c r="C48" s="17"/>
      <c r="D48" s="16"/>
    </row>
    <row r="49" spans="1:4" x14ac:dyDescent="0.25">
      <c r="A49" s="10">
        <v>96</v>
      </c>
      <c r="B49" s="13" t="s">
        <v>67</v>
      </c>
      <c r="C49" s="17"/>
      <c r="D49" s="16"/>
    </row>
    <row r="50" spans="1:4" x14ac:dyDescent="0.25">
      <c r="A50" s="10">
        <v>100</v>
      </c>
      <c r="B50" s="13" t="s">
        <v>69</v>
      </c>
      <c r="C50" s="17"/>
      <c r="D50" s="16"/>
    </row>
    <row r="51" spans="1:4" x14ac:dyDescent="0.25">
      <c r="A51" s="10">
        <v>101</v>
      </c>
      <c r="B51" s="13" t="s">
        <v>71</v>
      </c>
      <c r="C51" s="17"/>
      <c r="D51" s="16"/>
    </row>
    <row r="52" spans="1:4" x14ac:dyDescent="0.25">
      <c r="A52" s="10">
        <v>102</v>
      </c>
      <c r="B52" s="13" t="s">
        <v>73</v>
      </c>
      <c r="C52" s="17"/>
      <c r="D52" s="16"/>
    </row>
    <row r="53" spans="1:4" x14ac:dyDescent="0.25">
      <c r="A53" s="10">
        <v>105</v>
      </c>
      <c r="B53" s="13" t="s">
        <v>75</v>
      </c>
      <c r="C53" s="17"/>
      <c r="D53" s="16"/>
    </row>
    <row r="54" spans="1:4" x14ac:dyDescent="0.25">
      <c r="A54" s="17">
        <v>106</v>
      </c>
      <c r="B54" s="16" t="s">
        <v>76</v>
      </c>
      <c r="C54" s="17"/>
      <c r="D54" s="16"/>
    </row>
    <row r="55" spans="1:4" x14ac:dyDescent="0.25">
      <c r="A55" s="10">
        <v>107</v>
      </c>
      <c r="B55" s="13" t="s">
        <v>78</v>
      </c>
      <c r="C55" s="17"/>
      <c r="D55" s="16"/>
    </row>
    <row r="56" spans="1:4" x14ac:dyDescent="0.25">
      <c r="A56" s="10">
        <v>108</v>
      </c>
      <c r="B56" s="13" t="s">
        <v>868</v>
      </c>
      <c r="C56" s="17"/>
      <c r="D56" s="16"/>
    </row>
    <row r="57" spans="1:4" x14ac:dyDescent="0.25">
      <c r="A57" s="17">
        <v>109</v>
      </c>
      <c r="B57" s="16" t="s">
        <v>79</v>
      </c>
      <c r="C57" s="17"/>
      <c r="D57" s="16"/>
    </row>
    <row r="58" spans="1:4" x14ac:dyDescent="0.25">
      <c r="A58" s="10">
        <v>110</v>
      </c>
      <c r="B58" s="13" t="s">
        <v>869</v>
      </c>
      <c r="C58" s="17"/>
      <c r="D58" s="16"/>
    </row>
    <row r="59" spans="1:4" x14ac:dyDescent="0.25">
      <c r="A59" s="17">
        <v>112</v>
      </c>
      <c r="B59" s="16" t="s">
        <v>981</v>
      </c>
      <c r="C59" s="17"/>
      <c r="D59" s="16"/>
    </row>
    <row r="60" spans="1:4" x14ac:dyDescent="0.25">
      <c r="A60" s="10">
        <v>113</v>
      </c>
      <c r="B60" s="13" t="s">
        <v>81</v>
      </c>
      <c r="C60" s="17"/>
      <c r="D60" s="16"/>
    </row>
    <row r="61" spans="1:4" x14ac:dyDescent="0.25">
      <c r="A61" s="10">
        <v>114</v>
      </c>
      <c r="B61" s="13" t="s">
        <v>83</v>
      </c>
      <c r="C61" s="17"/>
      <c r="D61" s="16"/>
    </row>
    <row r="62" spans="1:4" x14ac:dyDescent="0.25">
      <c r="A62" s="10">
        <v>115</v>
      </c>
      <c r="B62" s="13" t="s">
        <v>85</v>
      </c>
      <c r="C62" s="17"/>
      <c r="D62" s="16"/>
    </row>
    <row r="63" spans="1:4" x14ac:dyDescent="0.25">
      <c r="A63" s="10">
        <v>117</v>
      </c>
      <c r="B63" s="13" t="s">
        <v>870</v>
      </c>
      <c r="C63" s="17"/>
      <c r="D63" s="16"/>
    </row>
    <row r="64" spans="1:4" x14ac:dyDescent="0.25">
      <c r="A64" s="10">
        <v>118</v>
      </c>
      <c r="B64" s="13" t="s">
        <v>87</v>
      </c>
      <c r="C64" s="17"/>
      <c r="D64" s="16"/>
    </row>
    <row r="65" spans="1:4" x14ac:dyDescent="0.25">
      <c r="A65" s="10">
        <v>119</v>
      </c>
      <c r="B65" s="13" t="s">
        <v>89</v>
      </c>
      <c r="C65" s="17"/>
      <c r="D65" s="16"/>
    </row>
    <row r="66" spans="1:4" x14ac:dyDescent="0.25">
      <c r="A66" s="10">
        <v>120</v>
      </c>
      <c r="B66" s="13" t="s">
        <v>91</v>
      </c>
      <c r="C66" s="17"/>
      <c r="D66" s="16"/>
    </row>
    <row r="67" spans="1:4" x14ac:dyDescent="0.25">
      <c r="A67" s="10">
        <v>123</v>
      </c>
      <c r="B67" s="13" t="s">
        <v>93</v>
      </c>
      <c r="C67" s="17"/>
      <c r="D67" s="16"/>
    </row>
    <row r="68" spans="1:4" x14ac:dyDescent="0.25">
      <c r="A68" s="10">
        <v>124</v>
      </c>
      <c r="B68" s="13" t="s">
        <v>95</v>
      </c>
      <c r="C68" s="17"/>
      <c r="D68" s="16"/>
    </row>
    <row r="69" spans="1:4" x14ac:dyDescent="0.25">
      <c r="A69" s="10">
        <v>125</v>
      </c>
      <c r="B69" s="13" t="s">
        <v>97</v>
      </c>
      <c r="C69" s="17"/>
      <c r="D69" s="16"/>
    </row>
    <row r="70" spans="1:4" x14ac:dyDescent="0.25">
      <c r="A70" s="10">
        <v>127</v>
      </c>
      <c r="B70" s="13" t="s">
        <v>99</v>
      </c>
      <c r="C70" s="17"/>
      <c r="D70" s="16"/>
    </row>
    <row r="71" spans="1:4" x14ac:dyDescent="0.25">
      <c r="A71" s="10">
        <v>128</v>
      </c>
      <c r="B71" s="13" t="s">
        <v>101</v>
      </c>
      <c r="C71" s="17"/>
      <c r="D71" s="16"/>
    </row>
    <row r="72" spans="1:4" x14ac:dyDescent="0.25">
      <c r="A72" s="10">
        <v>129</v>
      </c>
      <c r="B72" s="13" t="s">
        <v>103</v>
      </c>
      <c r="C72" s="17"/>
      <c r="D72" s="16"/>
    </row>
    <row r="73" spans="1:4" x14ac:dyDescent="0.25">
      <c r="A73" s="17">
        <v>130</v>
      </c>
      <c r="B73" s="16" t="s">
        <v>104</v>
      </c>
      <c r="C73" s="17"/>
      <c r="D73" s="16"/>
    </row>
    <row r="74" spans="1:4" x14ac:dyDescent="0.25">
      <c r="A74" s="17">
        <v>131</v>
      </c>
      <c r="B74" s="16" t="s">
        <v>105</v>
      </c>
      <c r="C74" s="17"/>
      <c r="D74" s="16"/>
    </row>
    <row r="75" spans="1:4" x14ac:dyDescent="0.25">
      <c r="A75" s="17">
        <v>133</v>
      </c>
      <c r="B75" s="16" t="s">
        <v>982</v>
      </c>
      <c r="C75" s="17"/>
      <c r="D75" s="16"/>
    </row>
    <row r="76" spans="1:4" x14ac:dyDescent="0.25">
      <c r="A76" s="17">
        <v>135</v>
      </c>
      <c r="B76" s="16" t="s">
        <v>106</v>
      </c>
      <c r="C76" s="17"/>
      <c r="D76" s="16"/>
    </row>
    <row r="77" spans="1:4" x14ac:dyDescent="0.25">
      <c r="A77" s="10">
        <v>138</v>
      </c>
      <c r="B77" s="13" t="s">
        <v>871</v>
      </c>
      <c r="C77" s="17"/>
      <c r="D77" s="16"/>
    </row>
    <row r="78" spans="1:4" x14ac:dyDescent="0.25">
      <c r="A78" s="10">
        <v>139</v>
      </c>
      <c r="B78" s="13" t="s">
        <v>108</v>
      </c>
      <c r="C78" s="17"/>
      <c r="D78" s="16"/>
    </row>
    <row r="79" spans="1:4" x14ac:dyDescent="0.25">
      <c r="A79" s="10">
        <v>140</v>
      </c>
      <c r="B79" s="13" t="s">
        <v>110</v>
      </c>
      <c r="C79" s="17"/>
      <c r="D79" s="16"/>
    </row>
    <row r="80" spans="1:4" x14ac:dyDescent="0.25">
      <c r="A80" s="17">
        <v>141</v>
      </c>
      <c r="B80" s="16" t="s">
        <v>983</v>
      </c>
      <c r="C80" s="17"/>
      <c r="D80" s="16"/>
    </row>
    <row r="81" spans="1:4" x14ac:dyDescent="0.25">
      <c r="A81" s="10">
        <v>163</v>
      </c>
      <c r="B81" s="13" t="s">
        <v>112</v>
      </c>
      <c r="C81" s="17"/>
      <c r="D81" s="16"/>
    </row>
    <row r="82" spans="1:4" x14ac:dyDescent="0.25">
      <c r="A82" s="10">
        <v>182</v>
      </c>
      <c r="B82" s="13" t="s">
        <v>114</v>
      </c>
      <c r="C82" s="17"/>
      <c r="D82" s="16"/>
    </row>
    <row r="83" spans="1:4" x14ac:dyDescent="0.25">
      <c r="A83" s="10">
        <v>183</v>
      </c>
      <c r="B83" s="13" t="s">
        <v>116</v>
      </c>
      <c r="C83" s="17"/>
      <c r="D83" s="16"/>
    </row>
    <row r="84" spans="1:4" x14ac:dyDescent="0.25">
      <c r="A84" s="17">
        <v>200</v>
      </c>
      <c r="B84" s="16" t="s">
        <v>984</v>
      </c>
      <c r="C84" s="17"/>
      <c r="D84" s="16"/>
    </row>
    <row r="85" spans="1:4" x14ac:dyDescent="0.25">
      <c r="A85" s="17">
        <v>208</v>
      </c>
      <c r="B85" s="16" t="s">
        <v>985</v>
      </c>
      <c r="C85" s="17"/>
      <c r="D85" s="16"/>
    </row>
    <row r="86" spans="1:4" x14ac:dyDescent="0.25">
      <c r="A86" s="10">
        <v>209</v>
      </c>
      <c r="B86" s="13" t="s">
        <v>118</v>
      </c>
      <c r="C86" s="17"/>
      <c r="D86" s="16"/>
    </row>
    <row r="87" spans="1:4" x14ac:dyDescent="0.25">
      <c r="A87" s="10">
        <v>216</v>
      </c>
      <c r="B87" s="13" t="s">
        <v>120</v>
      </c>
      <c r="C87" s="17"/>
      <c r="D87" s="16"/>
    </row>
    <row r="88" spans="1:4" x14ac:dyDescent="0.25">
      <c r="A88" s="10">
        <v>227</v>
      </c>
      <c r="B88" s="13" t="s">
        <v>122</v>
      </c>
      <c r="C88" s="17"/>
      <c r="D88" s="16"/>
    </row>
    <row r="89" spans="1:4" x14ac:dyDescent="0.25">
      <c r="A89" s="10">
        <v>240</v>
      </c>
      <c r="B89" s="13" t="s">
        <v>872</v>
      </c>
      <c r="C89" s="17"/>
      <c r="D89" s="16"/>
    </row>
    <row r="90" spans="1:4" x14ac:dyDescent="0.25">
      <c r="A90" s="10">
        <v>241</v>
      </c>
      <c r="B90" s="13" t="s">
        <v>124</v>
      </c>
      <c r="C90" s="17"/>
      <c r="D90" s="16"/>
    </row>
    <row r="91" spans="1:4" x14ac:dyDescent="0.25">
      <c r="A91" s="10">
        <v>247</v>
      </c>
      <c r="B91" s="13" t="s">
        <v>126</v>
      </c>
      <c r="C91" s="17"/>
      <c r="D91" s="16"/>
    </row>
    <row r="92" spans="1:4" x14ac:dyDescent="0.25">
      <c r="A92" s="10">
        <v>248</v>
      </c>
      <c r="B92" s="13" t="s">
        <v>128</v>
      </c>
      <c r="C92" s="17"/>
      <c r="D92" s="16"/>
    </row>
    <row r="93" spans="1:4" x14ac:dyDescent="0.25">
      <c r="A93" s="10">
        <v>252</v>
      </c>
      <c r="B93" s="13" t="s">
        <v>130</v>
      </c>
      <c r="C93" s="17"/>
      <c r="D93" s="16"/>
    </row>
    <row r="94" spans="1:4" x14ac:dyDescent="0.25">
      <c r="A94" s="10">
        <v>253</v>
      </c>
      <c r="B94" s="13" t="s">
        <v>132</v>
      </c>
      <c r="C94" s="17"/>
      <c r="D94" s="16"/>
    </row>
    <row r="95" spans="1:4" x14ac:dyDescent="0.25">
      <c r="A95" s="10">
        <v>254</v>
      </c>
      <c r="B95" s="13" t="s">
        <v>134</v>
      </c>
      <c r="C95" s="17"/>
      <c r="D95" s="16"/>
    </row>
    <row r="96" spans="1:4" x14ac:dyDescent="0.25">
      <c r="A96" s="10">
        <v>255</v>
      </c>
      <c r="B96" s="13" t="s">
        <v>136</v>
      </c>
      <c r="C96" s="17"/>
      <c r="D96" s="16"/>
    </row>
    <row r="97" spans="1:4" x14ac:dyDescent="0.25">
      <c r="A97" s="17">
        <v>259</v>
      </c>
      <c r="B97" s="16" t="s">
        <v>137</v>
      </c>
      <c r="C97" s="17"/>
      <c r="D97" s="16"/>
    </row>
    <row r="98" spans="1:4" x14ac:dyDescent="0.25">
      <c r="A98" s="10">
        <v>260</v>
      </c>
      <c r="B98" s="13" t="s">
        <v>873</v>
      </c>
      <c r="C98" s="17"/>
      <c r="D98" s="16"/>
    </row>
    <row r="99" spans="1:4" x14ac:dyDescent="0.25">
      <c r="A99" s="10">
        <v>261</v>
      </c>
      <c r="B99" s="13" t="s">
        <v>139</v>
      </c>
      <c r="C99" s="17"/>
      <c r="D99" s="16"/>
    </row>
    <row r="100" spans="1:4" x14ac:dyDescent="0.25">
      <c r="A100" s="17">
        <v>262</v>
      </c>
      <c r="B100" s="16" t="s">
        <v>140</v>
      </c>
      <c r="C100" s="17"/>
      <c r="D100" s="16"/>
    </row>
    <row r="101" spans="1:4" x14ac:dyDescent="0.25">
      <c r="A101" s="17">
        <v>264</v>
      </c>
      <c r="B101" s="16" t="s">
        <v>986</v>
      </c>
      <c r="C101" s="17"/>
      <c r="D101" s="16"/>
    </row>
    <row r="102" spans="1:4" x14ac:dyDescent="0.25">
      <c r="A102" s="17">
        <v>266</v>
      </c>
      <c r="B102" s="16" t="s">
        <v>141</v>
      </c>
      <c r="C102" s="17"/>
      <c r="D102" s="16"/>
    </row>
    <row r="103" spans="1:4" x14ac:dyDescent="0.25">
      <c r="A103" s="17">
        <v>267</v>
      </c>
      <c r="B103" s="16" t="s">
        <v>142</v>
      </c>
      <c r="C103" s="17"/>
      <c r="D103" s="16"/>
    </row>
    <row r="104" spans="1:4" x14ac:dyDescent="0.25">
      <c r="A104" s="10">
        <v>270</v>
      </c>
      <c r="B104" s="13" t="s">
        <v>144</v>
      </c>
      <c r="C104" s="17"/>
      <c r="D104" s="16"/>
    </row>
    <row r="105" spans="1:4" x14ac:dyDescent="0.25">
      <c r="A105" s="10">
        <v>275</v>
      </c>
      <c r="B105" s="13" t="s">
        <v>146</v>
      </c>
      <c r="C105" s="17"/>
      <c r="D105" s="16"/>
    </row>
    <row r="106" spans="1:4" x14ac:dyDescent="0.25">
      <c r="A106" s="10">
        <v>277</v>
      </c>
      <c r="B106" s="13" t="s">
        <v>148</v>
      </c>
      <c r="C106" s="17"/>
      <c r="D106" s="16"/>
    </row>
    <row r="107" spans="1:4" x14ac:dyDescent="0.25">
      <c r="A107" s="10">
        <v>280</v>
      </c>
      <c r="B107" s="13" t="s">
        <v>874</v>
      </c>
      <c r="C107" s="17"/>
      <c r="D107" s="16"/>
    </row>
    <row r="108" spans="1:4" x14ac:dyDescent="0.25">
      <c r="A108" s="17">
        <v>281</v>
      </c>
      <c r="B108" s="16" t="s">
        <v>149</v>
      </c>
      <c r="C108" s="17"/>
      <c r="D108" s="16"/>
    </row>
    <row r="109" spans="1:4" x14ac:dyDescent="0.25">
      <c r="A109" s="10">
        <v>283</v>
      </c>
      <c r="B109" s="13" t="s">
        <v>875</v>
      </c>
      <c r="C109" s="17"/>
      <c r="D109" s="16"/>
    </row>
    <row r="110" spans="1:4" x14ac:dyDescent="0.25">
      <c r="A110" s="10">
        <v>287</v>
      </c>
      <c r="B110" s="13" t="s">
        <v>151</v>
      </c>
      <c r="C110" s="17"/>
      <c r="D110" s="16"/>
    </row>
    <row r="111" spans="1:4" x14ac:dyDescent="0.25">
      <c r="A111" s="17">
        <v>288</v>
      </c>
      <c r="B111" s="16" t="s">
        <v>152</v>
      </c>
      <c r="C111" s="17"/>
      <c r="D111" s="16"/>
    </row>
    <row r="112" spans="1:4" x14ac:dyDescent="0.25">
      <c r="A112" s="10">
        <v>292</v>
      </c>
      <c r="B112" s="13" t="s">
        <v>154</v>
      </c>
      <c r="C112" s="17"/>
      <c r="D112" s="16"/>
    </row>
    <row r="113" spans="1:4" x14ac:dyDescent="0.25">
      <c r="A113" s="10">
        <v>298</v>
      </c>
      <c r="B113" s="13" t="s">
        <v>876</v>
      </c>
      <c r="C113" s="17"/>
      <c r="D113" s="16"/>
    </row>
    <row r="114" spans="1:4" x14ac:dyDescent="0.25">
      <c r="A114" s="17">
        <v>299</v>
      </c>
      <c r="B114" s="16" t="s">
        <v>987</v>
      </c>
      <c r="C114" s="17"/>
      <c r="D114" s="16"/>
    </row>
    <row r="115" spans="1:4" x14ac:dyDescent="0.25">
      <c r="A115" s="10">
        <v>301</v>
      </c>
      <c r="B115" s="13" t="s">
        <v>877</v>
      </c>
      <c r="C115" s="17"/>
      <c r="D115" s="16"/>
    </row>
    <row r="116" spans="1:4" x14ac:dyDescent="0.25">
      <c r="A116" s="17">
        <v>302</v>
      </c>
      <c r="B116" s="16" t="s">
        <v>155</v>
      </c>
      <c r="C116" s="17"/>
      <c r="D116" s="16"/>
    </row>
    <row r="117" spans="1:4" x14ac:dyDescent="0.25">
      <c r="A117" s="10">
        <v>303</v>
      </c>
      <c r="B117" s="13" t="s">
        <v>157</v>
      </c>
      <c r="C117" s="17"/>
      <c r="D117" s="16"/>
    </row>
    <row r="118" spans="1:4" x14ac:dyDescent="0.25">
      <c r="A118" s="10">
        <v>304</v>
      </c>
      <c r="B118" s="13" t="s">
        <v>159</v>
      </c>
      <c r="C118" s="17"/>
      <c r="D118" s="16"/>
    </row>
    <row r="119" spans="1:4" x14ac:dyDescent="0.25">
      <c r="A119" s="17">
        <v>305</v>
      </c>
      <c r="B119" s="16" t="s">
        <v>160</v>
      </c>
      <c r="C119" s="17"/>
      <c r="D119" s="16"/>
    </row>
    <row r="120" spans="1:4" x14ac:dyDescent="0.25">
      <c r="A120" s="10">
        <v>307</v>
      </c>
      <c r="B120" s="13" t="s">
        <v>162</v>
      </c>
      <c r="C120" s="17"/>
      <c r="D120" s="16"/>
    </row>
    <row r="121" spans="1:4" x14ac:dyDescent="0.25">
      <c r="A121" s="17">
        <v>308</v>
      </c>
      <c r="B121" s="16" t="s">
        <v>163</v>
      </c>
      <c r="C121" s="17"/>
      <c r="D121" s="16"/>
    </row>
    <row r="122" spans="1:4" x14ac:dyDescent="0.25">
      <c r="A122" s="10">
        <v>309</v>
      </c>
      <c r="B122" s="13" t="s">
        <v>165</v>
      </c>
      <c r="C122" s="17"/>
      <c r="D122" s="16"/>
    </row>
    <row r="123" spans="1:4" x14ac:dyDescent="0.25">
      <c r="A123" s="10">
        <v>310</v>
      </c>
      <c r="B123" s="13" t="s">
        <v>167</v>
      </c>
      <c r="C123" s="17"/>
      <c r="D123" s="16"/>
    </row>
    <row r="124" spans="1:4" x14ac:dyDescent="0.25">
      <c r="A124" s="10">
        <v>311</v>
      </c>
      <c r="B124" s="13" t="s">
        <v>169</v>
      </c>
      <c r="C124" s="17"/>
      <c r="D124" s="16"/>
    </row>
    <row r="125" spans="1:4" x14ac:dyDescent="0.25">
      <c r="A125" s="10">
        <v>312</v>
      </c>
      <c r="B125" s="13" t="s">
        <v>171</v>
      </c>
      <c r="C125" s="17"/>
      <c r="D125" s="16"/>
    </row>
    <row r="126" spans="1:4" x14ac:dyDescent="0.25">
      <c r="A126" s="10">
        <v>313</v>
      </c>
      <c r="B126" s="13" t="s">
        <v>173</v>
      </c>
      <c r="C126" s="17"/>
      <c r="D126" s="16"/>
    </row>
    <row r="127" spans="1:4" x14ac:dyDescent="0.25">
      <c r="A127" s="10">
        <v>319</v>
      </c>
      <c r="B127" s="13" t="s">
        <v>175</v>
      </c>
      <c r="C127" s="17"/>
      <c r="D127" s="16"/>
    </row>
    <row r="128" spans="1:4" x14ac:dyDescent="0.25">
      <c r="A128" s="10">
        <v>321</v>
      </c>
      <c r="B128" s="13" t="s">
        <v>878</v>
      </c>
      <c r="C128" s="17"/>
      <c r="D128" s="16"/>
    </row>
    <row r="129" spans="1:4" x14ac:dyDescent="0.25">
      <c r="A129" s="10">
        <v>323</v>
      </c>
      <c r="B129" s="13" t="s">
        <v>177</v>
      </c>
      <c r="C129" s="17"/>
      <c r="D129" s="16"/>
    </row>
    <row r="130" spans="1:4" x14ac:dyDescent="0.25">
      <c r="A130" s="10">
        <v>325</v>
      </c>
      <c r="B130" s="13" t="s">
        <v>179</v>
      </c>
      <c r="C130" s="17"/>
      <c r="D130" s="16"/>
    </row>
    <row r="131" spans="1:4" x14ac:dyDescent="0.25">
      <c r="A131" s="17">
        <v>328</v>
      </c>
      <c r="B131" s="16" t="s">
        <v>180</v>
      </c>
      <c r="C131" s="17"/>
      <c r="D131" s="16"/>
    </row>
    <row r="132" spans="1:4" x14ac:dyDescent="0.25">
      <c r="A132" s="10">
        <v>330</v>
      </c>
      <c r="B132" s="13" t="s">
        <v>182</v>
      </c>
      <c r="C132" s="17"/>
      <c r="D132" s="16"/>
    </row>
    <row r="133" spans="1:4" x14ac:dyDescent="0.25">
      <c r="A133" s="10">
        <v>331</v>
      </c>
      <c r="B133" s="13" t="s">
        <v>184</v>
      </c>
      <c r="C133" s="17"/>
      <c r="D133" s="16"/>
    </row>
    <row r="134" spans="1:4" x14ac:dyDescent="0.25">
      <c r="A134" s="17">
        <v>332</v>
      </c>
      <c r="B134" s="16" t="s">
        <v>988</v>
      </c>
      <c r="C134" s="17"/>
      <c r="D134" s="16"/>
    </row>
    <row r="135" spans="1:4" x14ac:dyDescent="0.25">
      <c r="A135" s="10">
        <v>334</v>
      </c>
      <c r="B135" s="13" t="s">
        <v>186</v>
      </c>
      <c r="C135" s="17"/>
      <c r="D135" s="16"/>
    </row>
    <row r="136" spans="1:4" x14ac:dyDescent="0.25">
      <c r="A136" s="10">
        <v>337</v>
      </c>
      <c r="B136" s="13" t="s">
        <v>188</v>
      </c>
      <c r="C136" s="17"/>
      <c r="D136" s="16"/>
    </row>
    <row r="137" spans="1:4" x14ac:dyDescent="0.25">
      <c r="A137" s="10">
        <v>339</v>
      </c>
      <c r="B137" s="13" t="s">
        <v>190</v>
      </c>
      <c r="C137" s="17"/>
      <c r="D137" s="16"/>
    </row>
    <row r="138" spans="1:4" x14ac:dyDescent="0.25">
      <c r="A138" s="17">
        <v>340</v>
      </c>
      <c r="B138" s="16" t="s">
        <v>989</v>
      </c>
      <c r="C138" s="17"/>
      <c r="D138" s="16"/>
    </row>
    <row r="139" spans="1:4" x14ac:dyDescent="0.25">
      <c r="A139" s="10">
        <v>341</v>
      </c>
      <c r="B139" s="13" t="s">
        <v>192</v>
      </c>
      <c r="C139" s="17"/>
      <c r="D139" s="16"/>
    </row>
    <row r="140" spans="1:4" x14ac:dyDescent="0.25">
      <c r="A140" s="10">
        <v>342</v>
      </c>
      <c r="B140" s="13" t="s">
        <v>194</v>
      </c>
      <c r="C140" s="17"/>
      <c r="D140" s="16"/>
    </row>
    <row r="141" spans="1:4" x14ac:dyDescent="0.25">
      <c r="A141" s="17">
        <v>344</v>
      </c>
      <c r="B141" s="16" t="s">
        <v>195</v>
      </c>
      <c r="C141" s="17"/>
      <c r="D141" s="16"/>
    </row>
    <row r="142" spans="1:4" x14ac:dyDescent="0.25">
      <c r="A142" s="10">
        <v>346</v>
      </c>
      <c r="B142" s="13" t="s">
        <v>197</v>
      </c>
      <c r="C142" s="17"/>
      <c r="D142" s="16"/>
    </row>
    <row r="143" spans="1:4" x14ac:dyDescent="0.25">
      <c r="A143" s="17">
        <v>347</v>
      </c>
      <c r="B143" s="16" t="s">
        <v>990</v>
      </c>
      <c r="C143" s="17"/>
      <c r="D143" s="16"/>
    </row>
    <row r="144" spans="1:4" x14ac:dyDescent="0.25">
      <c r="A144" s="10">
        <v>366</v>
      </c>
      <c r="B144" s="13" t="s">
        <v>199</v>
      </c>
      <c r="C144" s="17"/>
      <c r="D144" s="16"/>
    </row>
    <row r="145" spans="1:4" x14ac:dyDescent="0.25">
      <c r="A145" s="10">
        <v>400</v>
      </c>
      <c r="B145" s="13" t="s">
        <v>201</v>
      </c>
      <c r="C145" s="17"/>
      <c r="D145" s="16"/>
    </row>
    <row r="146" spans="1:4" x14ac:dyDescent="0.25">
      <c r="A146" s="10">
        <v>404</v>
      </c>
      <c r="B146" s="13" t="s">
        <v>203</v>
      </c>
      <c r="C146" s="17"/>
      <c r="D146" s="16"/>
    </row>
    <row r="147" spans="1:4" x14ac:dyDescent="0.25">
      <c r="A147" s="10">
        <v>407</v>
      </c>
      <c r="B147" s="13" t="s">
        <v>205</v>
      </c>
      <c r="C147" s="17"/>
      <c r="D147" s="16"/>
    </row>
    <row r="148" spans="1:4" x14ac:dyDescent="0.25">
      <c r="A148" s="10">
        <v>408</v>
      </c>
      <c r="B148" s="13" t="s">
        <v>207</v>
      </c>
      <c r="C148" s="17"/>
      <c r="D148" s="16"/>
    </row>
    <row r="149" spans="1:4" x14ac:dyDescent="0.25">
      <c r="A149" s="10">
        <v>415</v>
      </c>
      <c r="B149" s="13" t="s">
        <v>209</v>
      </c>
      <c r="C149" s="17"/>
      <c r="D149" s="16"/>
    </row>
    <row r="150" spans="1:4" x14ac:dyDescent="0.25">
      <c r="A150" s="10">
        <v>416</v>
      </c>
      <c r="B150" s="13" t="s">
        <v>211</v>
      </c>
      <c r="C150" s="17"/>
      <c r="D150" s="16"/>
    </row>
    <row r="151" spans="1:4" x14ac:dyDescent="0.25">
      <c r="A151" s="10">
        <v>417</v>
      </c>
      <c r="B151" s="13" t="s">
        <v>879</v>
      </c>
      <c r="C151" s="17"/>
      <c r="D151" s="16"/>
    </row>
    <row r="152" spans="1:4" x14ac:dyDescent="0.25">
      <c r="A152" s="10">
        <v>418</v>
      </c>
      <c r="B152" s="13" t="s">
        <v>880</v>
      </c>
      <c r="C152" s="17"/>
      <c r="D152" s="16"/>
    </row>
    <row r="153" spans="1:4" x14ac:dyDescent="0.25">
      <c r="A153" s="10">
        <v>419</v>
      </c>
      <c r="B153" s="13" t="s">
        <v>213</v>
      </c>
      <c r="C153" s="17"/>
      <c r="D153" s="16"/>
    </row>
    <row r="154" spans="1:4" x14ac:dyDescent="0.25">
      <c r="A154" s="10">
        <v>450</v>
      </c>
      <c r="B154" s="13" t="s">
        <v>215</v>
      </c>
      <c r="C154" s="17"/>
      <c r="D154" s="16"/>
    </row>
    <row r="155" spans="1:4" x14ac:dyDescent="0.25">
      <c r="A155" s="17">
        <v>503</v>
      </c>
      <c r="B155" s="16" t="s">
        <v>216</v>
      </c>
      <c r="C155" s="17"/>
      <c r="D155" s="16"/>
    </row>
    <row r="156" spans="1:4" x14ac:dyDescent="0.25">
      <c r="A156" s="7">
        <v>505</v>
      </c>
      <c r="B156" s="5" t="s">
        <v>217</v>
      </c>
      <c r="C156" s="17"/>
      <c r="D156" s="16"/>
    </row>
    <row r="157" spans="1:4" x14ac:dyDescent="0.25">
      <c r="A157" s="17">
        <v>506</v>
      </c>
      <c r="B157" s="16" t="s">
        <v>218</v>
      </c>
      <c r="C157" s="17"/>
      <c r="D157" s="16"/>
    </row>
    <row r="158" spans="1:4" x14ac:dyDescent="0.25">
      <c r="A158" s="10">
        <v>509</v>
      </c>
      <c r="B158" s="13" t="s">
        <v>881</v>
      </c>
      <c r="C158" s="17"/>
      <c r="D158" s="16"/>
    </row>
    <row r="159" spans="1:4" x14ac:dyDescent="0.25">
      <c r="A159" s="7">
        <v>511</v>
      </c>
      <c r="B159" s="5" t="s">
        <v>219</v>
      </c>
      <c r="C159" s="17"/>
      <c r="D159" s="16"/>
    </row>
    <row r="160" spans="1:4" x14ac:dyDescent="0.25">
      <c r="A160" s="17">
        <v>512</v>
      </c>
      <c r="B160" s="16" t="s">
        <v>220</v>
      </c>
      <c r="C160" s="17"/>
      <c r="D160" s="16"/>
    </row>
    <row r="161" spans="1:4" x14ac:dyDescent="0.25">
      <c r="A161" s="10">
        <v>516</v>
      </c>
      <c r="B161" s="13" t="s">
        <v>222</v>
      </c>
      <c r="C161" s="17"/>
      <c r="D161" s="16"/>
    </row>
    <row r="162" spans="1:4" x14ac:dyDescent="0.25">
      <c r="A162" s="10">
        <v>524</v>
      </c>
      <c r="B162" s="13" t="s">
        <v>224</v>
      </c>
      <c r="C162" s="17"/>
      <c r="D162" s="16"/>
    </row>
    <row r="163" spans="1:4" x14ac:dyDescent="0.25">
      <c r="A163" s="7">
        <v>527</v>
      </c>
      <c r="B163" s="5" t="s">
        <v>225</v>
      </c>
      <c r="C163" s="17"/>
      <c r="D163" s="16"/>
    </row>
    <row r="164" spans="1:4" x14ac:dyDescent="0.25">
      <c r="A164" s="10">
        <v>531</v>
      </c>
      <c r="B164" s="13" t="s">
        <v>227</v>
      </c>
      <c r="C164" s="17"/>
      <c r="D164" s="16"/>
    </row>
    <row r="165" spans="1:4" x14ac:dyDescent="0.25">
      <c r="A165" s="17">
        <v>532</v>
      </c>
      <c r="B165" s="16" t="s">
        <v>991</v>
      </c>
      <c r="C165" s="17"/>
      <c r="D165" s="16"/>
    </row>
    <row r="166" spans="1:4" x14ac:dyDescent="0.25">
      <c r="A166" s="10">
        <v>533</v>
      </c>
      <c r="B166" s="13" t="s">
        <v>229</v>
      </c>
      <c r="C166" s="17"/>
      <c r="D166" s="16"/>
    </row>
    <row r="167" spans="1:4" x14ac:dyDescent="0.25">
      <c r="A167" s="17">
        <v>534</v>
      </c>
      <c r="B167" s="16" t="s">
        <v>992</v>
      </c>
      <c r="C167" s="17"/>
      <c r="D167" s="16"/>
    </row>
    <row r="168" spans="1:4" x14ac:dyDescent="0.25">
      <c r="A168" s="7">
        <v>537</v>
      </c>
      <c r="B168" s="5" t="s">
        <v>230</v>
      </c>
      <c r="C168" s="17"/>
      <c r="D168" s="16"/>
    </row>
    <row r="169" spans="1:4" x14ac:dyDescent="0.25">
      <c r="A169" s="10">
        <v>539</v>
      </c>
      <c r="B169" s="13" t="s">
        <v>882</v>
      </c>
      <c r="C169" s="17"/>
      <c r="D169" s="16"/>
    </row>
    <row r="170" spans="1:4" x14ac:dyDescent="0.25">
      <c r="A170" s="17">
        <v>543</v>
      </c>
      <c r="B170" s="16" t="s">
        <v>231</v>
      </c>
      <c r="C170" s="17"/>
      <c r="D170" s="16"/>
    </row>
    <row r="171" spans="1:4" x14ac:dyDescent="0.25">
      <c r="A171" s="17">
        <v>544</v>
      </c>
      <c r="B171" s="16" t="s">
        <v>232</v>
      </c>
      <c r="C171" s="17"/>
      <c r="D171" s="16"/>
    </row>
    <row r="172" spans="1:4" x14ac:dyDescent="0.25">
      <c r="A172" s="17">
        <v>546</v>
      </c>
      <c r="B172" s="16" t="s">
        <v>233</v>
      </c>
      <c r="C172" s="17"/>
      <c r="D172" s="16"/>
    </row>
    <row r="173" spans="1:4" x14ac:dyDescent="0.25">
      <c r="A173" s="7">
        <v>548</v>
      </c>
      <c r="B173" s="5" t="s">
        <v>234</v>
      </c>
      <c r="C173" s="17"/>
      <c r="D173" s="16"/>
    </row>
    <row r="174" spans="1:4" x14ac:dyDescent="0.25">
      <c r="A174" s="10">
        <v>549</v>
      </c>
      <c r="B174" s="13" t="s">
        <v>883</v>
      </c>
      <c r="C174" s="17"/>
      <c r="D174" s="16"/>
    </row>
    <row r="175" spans="1:4" x14ac:dyDescent="0.25">
      <c r="A175" s="10">
        <v>560</v>
      </c>
      <c r="B175" s="13" t="s">
        <v>236</v>
      </c>
      <c r="C175" s="17"/>
      <c r="D175" s="16"/>
    </row>
    <row r="176" spans="1:4" x14ac:dyDescent="0.25">
      <c r="A176" s="17">
        <v>563</v>
      </c>
      <c r="B176" s="16" t="s">
        <v>237</v>
      </c>
      <c r="C176" s="17"/>
      <c r="D176" s="16"/>
    </row>
    <row r="177" spans="1:4" x14ac:dyDescent="0.25">
      <c r="A177" s="10">
        <v>572</v>
      </c>
      <c r="B177" s="13" t="s">
        <v>239</v>
      </c>
      <c r="C177" s="17"/>
      <c r="D177" s="16"/>
    </row>
    <row r="178" spans="1:4" x14ac:dyDescent="0.25">
      <c r="A178" s="10">
        <v>583</v>
      </c>
      <c r="B178" s="13" t="s">
        <v>884</v>
      </c>
      <c r="C178" s="17"/>
      <c r="D178" s="16"/>
    </row>
    <row r="179" spans="1:4" x14ac:dyDescent="0.25">
      <c r="A179" s="10">
        <v>587</v>
      </c>
      <c r="B179" s="13" t="s">
        <v>885</v>
      </c>
      <c r="C179" s="17"/>
      <c r="D179" s="16"/>
    </row>
    <row r="180" spans="1:4" x14ac:dyDescent="0.25">
      <c r="A180" s="10">
        <v>589</v>
      </c>
      <c r="B180" s="13" t="s">
        <v>886</v>
      </c>
      <c r="C180" s="17"/>
      <c r="D180" s="16"/>
    </row>
    <row r="181" spans="1:4" x14ac:dyDescent="0.25">
      <c r="A181" s="10">
        <v>590</v>
      </c>
      <c r="B181" s="13" t="s">
        <v>241</v>
      </c>
      <c r="C181" s="17"/>
      <c r="D181" s="16"/>
    </row>
    <row r="182" spans="1:4" x14ac:dyDescent="0.25">
      <c r="A182" s="10">
        <v>592</v>
      </c>
      <c r="B182" s="13" t="s">
        <v>243</v>
      </c>
      <c r="C182" s="17"/>
      <c r="D182" s="16"/>
    </row>
    <row r="183" spans="1:4" x14ac:dyDescent="0.25">
      <c r="A183" s="17">
        <v>596</v>
      </c>
      <c r="B183" s="16" t="s">
        <v>993</v>
      </c>
      <c r="C183" s="17"/>
      <c r="D183" s="16"/>
    </row>
    <row r="184" spans="1:4" x14ac:dyDescent="0.25">
      <c r="A184" s="10">
        <v>597</v>
      </c>
      <c r="B184" s="13" t="s">
        <v>245</v>
      </c>
      <c r="C184" s="17"/>
      <c r="D184" s="16"/>
    </row>
    <row r="185" spans="1:4" x14ac:dyDescent="0.25">
      <c r="A185" s="17">
        <v>599</v>
      </c>
      <c r="B185" s="16" t="s">
        <v>246</v>
      </c>
      <c r="C185" s="17"/>
      <c r="D185" s="16"/>
    </row>
    <row r="186" spans="1:4" x14ac:dyDescent="0.25">
      <c r="A186" s="10">
        <v>610</v>
      </c>
      <c r="B186" s="13" t="s">
        <v>248</v>
      </c>
      <c r="C186" s="17"/>
      <c r="D186" s="16"/>
    </row>
    <row r="187" spans="1:4" x14ac:dyDescent="0.25">
      <c r="A187" s="17">
        <v>611</v>
      </c>
      <c r="B187" s="16" t="s">
        <v>249</v>
      </c>
      <c r="C187" s="17"/>
      <c r="D187" s="16"/>
    </row>
    <row r="188" spans="1:4" x14ac:dyDescent="0.25">
      <c r="A188" s="17">
        <v>615</v>
      </c>
      <c r="B188" s="16" t="s">
        <v>250</v>
      </c>
      <c r="C188" s="17"/>
      <c r="D188" s="16"/>
    </row>
    <row r="189" spans="1:4" x14ac:dyDescent="0.25">
      <c r="A189" s="17">
        <v>616</v>
      </c>
      <c r="B189" s="16" t="s">
        <v>251</v>
      </c>
      <c r="C189" s="17"/>
      <c r="D189" s="16"/>
    </row>
    <row r="190" spans="1:4" x14ac:dyDescent="0.25">
      <c r="A190" s="17">
        <v>618</v>
      </c>
      <c r="B190" s="16" t="s">
        <v>994</v>
      </c>
      <c r="C190" s="17"/>
      <c r="D190" s="16"/>
    </row>
    <row r="191" spans="1:4" x14ac:dyDescent="0.25">
      <c r="A191" s="7">
        <v>620</v>
      </c>
      <c r="B191" s="5" t="s">
        <v>252</v>
      </c>
      <c r="C191" s="17"/>
      <c r="D191" s="16"/>
    </row>
    <row r="192" spans="1:4" x14ac:dyDescent="0.25">
      <c r="A192" s="10">
        <v>621</v>
      </c>
      <c r="B192" s="13" t="s">
        <v>887</v>
      </c>
      <c r="C192" s="17"/>
      <c r="D192" s="16"/>
    </row>
    <row r="193" spans="1:4" x14ac:dyDescent="0.25">
      <c r="A193" s="10">
        <v>622</v>
      </c>
      <c r="B193" s="13" t="s">
        <v>254</v>
      </c>
      <c r="C193" s="17"/>
      <c r="D193" s="16"/>
    </row>
    <row r="194" spans="1:4" x14ac:dyDescent="0.25">
      <c r="A194" s="10">
        <v>626</v>
      </c>
      <c r="B194" s="13" t="s">
        <v>256</v>
      </c>
      <c r="C194" s="17"/>
      <c r="D194" s="16"/>
    </row>
    <row r="195" spans="1:4" x14ac:dyDescent="0.25">
      <c r="A195" s="17">
        <v>628</v>
      </c>
      <c r="B195" s="16" t="s">
        <v>257</v>
      </c>
      <c r="C195" s="17"/>
      <c r="D195" s="16"/>
    </row>
    <row r="196" spans="1:4" x14ac:dyDescent="0.25">
      <c r="A196" s="10">
        <v>629</v>
      </c>
      <c r="B196" s="13" t="s">
        <v>259</v>
      </c>
      <c r="C196" s="17"/>
      <c r="D196" s="16"/>
    </row>
    <row r="197" spans="1:4" x14ac:dyDescent="0.25">
      <c r="A197" s="10">
        <v>631</v>
      </c>
      <c r="B197" s="13" t="s">
        <v>261</v>
      </c>
      <c r="C197" s="17"/>
      <c r="D197" s="16"/>
    </row>
    <row r="198" spans="1:4" x14ac:dyDescent="0.25">
      <c r="A198" s="10">
        <v>633</v>
      </c>
      <c r="B198" s="13" t="s">
        <v>263</v>
      </c>
      <c r="C198" s="17"/>
      <c r="D198" s="16"/>
    </row>
    <row r="199" spans="1:4" x14ac:dyDescent="0.25">
      <c r="A199" s="10">
        <v>634</v>
      </c>
      <c r="B199" s="13" t="s">
        <v>265</v>
      </c>
      <c r="C199" s="17"/>
      <c r="D199" s="16"/>
    </row>
    <row r="200" spans="1:4" x14ac:dyDescent="0.25">
      <c r="A200" s="17">
        <v>635</v>
      </c>
      <c r="B200" s="16" t="s">
        <v>266</v>
      </c>
      <c r="C200" s="17"/>
      <c r="D200" s="16"/>
    </row>
    <row r="201" spans="1:4" x14ac:dyDescent="0.25">
      <c r="A201" s="10">
        <v>642</v>
      </c>
      <c r="B201" s="13" t="s">
        <v>268</v>
      </c>
      <c r="C201" s="17"/>
      <c r="D201" s="16"/>
    </row>
    <row r="202" spans="1:4" x14ac:dyDescent="0.25">
      <c r="A202" s="17">
        <v>643</v>
      </c>
      <c r="B202" s="16" t="s">
        <v>995</v>
      </c>
      <c r="C202" s="17"/>
      <c r="D202" s="16"/>
    </row>
    <row r="203" spans="1:4" x14ac:dyDescent="0.25">
      <c r="A203" s="17">
        <v>645</v>
      </c>
      <c r="B203" s="16" t="s">
        <v>269</v>
      </c>
      <c r="C203" s="17"/>
      <c r="D203" s="16"/>
    </row>
    <row r="204" spans="1:4" x14ac:dyDescent="0.25">
      <c r="A204" s="7">
        <v>647</v>
      </c>
      <c r="B204" s="5" t="s">
        <v>270</v>
      </c>
      <c r="C204" s="17"/>
      <c r="D204" s="16"/>
    </row>
    <row r="205" spans="1:4" x14ac:dyDescent="0.25">
      <c r="A205" s="17">
        <v>649</v>
      </c>
      <c r="B205" s="16" t="s">
        <v>996</v>
      </c>
      <c r="C205" s="17"/>
      <c r="D205" s="16"/>
    </row>
    <row r="206" spans="1:4" x14ac:dyDescent="0.25">
      <c r="A206" s="17">
        <v>653</v>
      </c>
      <c r="B206" s="16" t="s">
        <v>271</v>
      </c>
      <c r="C206" s="17"/>
      <c r="D206" s="16"/>
    </row>
    <row r="207" spans="1:4" x14ac:dyDescent="0.25">
      <c r="A207" s="10">
        <v>658</v>
      </c>
      <c r="B207" s="13" t="s">
        <v>273</v>
      </c>
      <c r="C207" s="17"/>
      <c r="D207" s="16"/>
    </row>
    <row r="208" spans="1:4" x14ac:dyDescent="0.25">
      <c r="A208" s="10">
        <v>663</v>
      </c>
      <c r="B208" s="13" t="s">
        <v>275</v>
      </c>
      <c r="C208" s="17"/>
      <c r="D208" s="16"/>
    </row>
    <row r="209" spans="1:4" x14ac:dyDescent="0.25">
      <c r="A209" s="17">
        <v>664</v>
      </c>
      <c r="B209" s="16" t="s">
        <v>276</v>
      </c>
      <c r="C209" s="17"/>
      <c r="D209" s="16"/>
    </row>
    <row r="210" spans="1:4" x14ac:dyDescent="0.25">
      <c r="A210" s="10">
        <v>677</v>
      </c>
      <c r="B210" s="13" t="s">
        <v>888</v>
      </c>
      <c r="C210" s="17"/>
      <c r="D210" s="16"/>
    </row>
    <row r="211" spans="1:4" x14ac:dyDescent="0.25">
      <c r="A211" s="10">
        <v>678</v>
      </c>
      <c r="B211" s="13" t="s">
        <v>278</v>
      </c>
      <c r="C211" s="17"/>
      <c r="D211" s="16"/>
    </row>
    <row r="212" spans="1:4" x14ac:dyDescent="0.25">
      <c r="A212" s="17">
        <v>682</v>
      </c>
      <c r="B212" s="16" t="s">
        <v>279</v>
      </c>
      <c r="C212" s="17"/>
      <c r="D212" s="16"/>
    </row>
    <row r="213" spans="1:4" x14ac:dyDescent="0.25">
      <c r="A213" s="17">
        <v>689</v>
      </c>
      <c r="B213" s="16" t="s">
        <v>280</v>
      </c>
      <c r="C213" s="17"/>
      <c r="D213" s="16"/>
    </row>
    <row r="214" spans="1:4" x14ac:dyDescent="0.25">
      <c r="A214" s="10">
        <v>692</v>
      </c>
      <c r="B214" s="13" t="s">
        <v>889</v>
      </c>
      <c r="C214" s="17"/>
      <c r="D214" s="16"/>
    </row>
    <row r="215" spans="1:4" x14ac:dyDescent="0.25">
      <c r="A215" s="7">
        <v>694</v>
      </c>
      <c r="B215" s="5" t="s">
        <v>281</v>
      </c>
      <c r="C215" s="17"/>
      <c r="D215" s="16"/>
    </row>
    <row r="216" spans="1:4" x14ac:dyDescent="0.25">
      <c r="A216" s="7">
        <v>695</v>
      </c>
      <c r="B216" s="5" t="s">
        <v>282</v>
      </c>
      <c r="C216" s="17"/>
      <c r="D216" s="16"/>
    </row>
    <row r="217" spans="1:4" x14ac:dyDescent="0.25">
      <c r="A217" s="7">
        <v>699</v>
      </c>
      <c r="B217" s="5" t="s">
        <v>283</v>
      </c>
      <c r="C217" s="17"/>
      <c r="D217" s="16"/>
    </row>
    <row r="218" spans="1:4" x14ac:dyDescent="0.25">
      <c r="A218" s="17">
        <v>702</v>
      </c>
      <c r="B218" s="16" t="s">
        <v>284</v>
      </c>
      <c r="C218" s="17"/>
      <c r="D218" s="16"/>
    </row>
    <row r="219" spans="1:4" x14ac:dyDescent="0.25">
      <c r="A219" s="10">
        <v>704</v>
      </c>
      <c r="B219" s="13" t="s">
        <v>890</v>
      </c>
      <c r="C219" s="17"/>
      <c r="D219" s="16"/>
    </row>
    <row r="220" spans="1:4" x14ac:dyDescent="0.25">
      <c r="A220" s="17">
        <v>707</v>
      </c>
      <c r="B220" s="16" t="s">
        <v>285</v>
      </c>
      <c r="C220" s="17"/>
      <c r="D220" s="16"/>
    </row>
    <row r="221" spans="1:4" x14ac:dyDescent="0.25">
      <c r="A221" s="17">
        <v>708</v>
      </c>
      <c r="B221" s="16" t="s">
        <v>286</v>
      </c>
      <c r="C221" s="17"/>
      <c r="D221" s="16"/>
    </row>
    <row r="222" spans="1:4" x14ac:dyDescent="0.25">
      <c r="A222" s="17">
        <v>709</v>
      </c>
      <c r="B222" s="16" t="s">
        <v>997</v>
      </c>
      <c r="C222" s="17"/>
      <c r="D222" s="16"/>
    </row>
    <row r="223" spans="1:4" x14ac:dyDescent="0.25">
      <c r="A223" s="17">
        <v>752</v>
      </c>
      <c r="B223" s="16" t="s">
        <v>288</v>
      </c>
      <c r="C223" s="17"/>
      <c r="D223" s="16"/>
    </row>
    <row r="224" spans="1:4" x14ac:dyDescent="0.25">
      <c r="A224" s="17">
        <v>755</v>
      </c>
      <c r="B224" s="16" t="s">
        <v>289</v>
      </c>
      <c r="C224" s="17"/>
      <c r="D224" s="16"/>
    </row>
    <row r="225" spans="1:4" x14ac:dyDescent="0.25">
      <c r="A225" s="7">
        <v>771</v>
      </c>
      <c r="B225" s="5" t="s">
        <v>291</v>
      </c>
      <c r="C225" s="17"/>
      <c r="D225" s="16"/>
    </row>
    <row r="226" spans="1:4" x14ac:dyDescent="0.25">
      <c r="A226" s="10">
        <v>779</v>
      </c>
      <c r="B226" s="13" t="s">
        <v>293</v>
      </c>
      <c r="C226" s="17"/>
      <c r="D226" s="16"/>
    </row>
    <row r="227" spans="1:4" x14ac:dyDescent="0.25">
      <c r="A227" s="17">
        <v>792</v>
      </c>
      <c r="B227" s="16" t="s">
        <v>295</v>
      </c>
      <c r="C227" s="17"/>
      <c r="D227" s="16"/>
    </row>
    <row r="228" spans="1:4" x14ac:dyDescent="0.25">
      <c r="A228" s="17">
        <v>794</v>
      </c>
      <c r="B228" s="16" t="s">
        <v>297</v>
      </c>
      <c r="C228" s="17"/>
      <c r="D228" s="16"/>
    </row>
    <row r="229" spans="1:4" x14ac:dyDescent="0.25">
      <c r="A229" s="10">
        <v>797</v>
      </c>
      <c r="B229" s="13" t="s">
        <v>299</v>
      </c>
      <c r="C229" s="17"/>
      <c r="D229" s="16"/>
    </row>
    <row r="230" spans="1:4" x14ac:dyDescent="0.25">
      <c r="A230" s="10">
        <v>802</v>
      </c>
      <c r="B230" s="13" t="s">
        <v>891</v>
      </c>
      <c r="C230" s="17"/>
      <c r="D230" s="16"/>
    </row>
    <row r="231" spans="1:4" x14ac:dyDescent="0.25">
      <c r="A231" s="17">
        <v>803</v>
      </c>
      <c r="B231" s="16" t="s">
        <v>300</v>
      </c>
      <c r="C231" s="17"/>
      <c r="D231" s="16"/>
    </row>
    <row r="232" spans="1:4" x14ac:dyDescent="0.25">
      <c r="A232" s="10">
        <v>805</v>
      </c>
      <c r="B232" s="13" t="s">
        <v>302</v>
      </c>
      <c r="C232" s="17"/>
      <c r="D232" s="16"/>
    </row>
    <row r="233" spans="1:4" x14ac:dyDescent="0.25">
      <c r="A233" s="17">
        <v>807</v>
      </c>
      <c r="B233" s="16" t="s">
        <v>998</v>
      </c>
      <c r="C233" s="17"/>
      <c r="D233" s="16"/>
    </row>
    <row r="234" spans="1:4" x14ac:dyDescent="0.25">
      <c r="A234" s="10">
        <v>841</v>
      </c>
      <c r="B234" s="13" t="s">
        <v>304</v>
      </c>
      <c r="C234" s="17"/>
      <c r="D234" s="16"/>
    </row>
    <row r="235" spans="1:4" x14ac:dyDescent="0.25">
      <c r="A235" s="10">
        <v>842</v>
      </c>
      <c r="B235" s="13" t="s">
        <v>306</v>
      </c>
      <c r="C235" s="17"/>
      <c r="D235" s="16"/>
    </row>
    <row r="236" spans="1:4" x14ac:dyDescent="0.25">
      <c r="A236" s="10">
        <v>843</v>
      </c>
      <c r="B236" s="13" t="s">
        <v>308</v>
      </c>
      <c r="C236" s="17"/>
      <c r="D236" s="16"/>
    </row>
    <row r="237" spans="1:4" x14ac:dyDescent="0.25">
      <c r="A237" s="10">
        <v>845</v>
      </c>
      <c r="B237" s="13" t="s">
        <v>310</v>
      </c>
      <c r="C237" s="17"/>
      <c r="D237" s="16"/>
    </row>
    <row r="238" spans="1:4" x14ac:dyDescent="0.25">
      <c r="A238" s="17">
        <v>848</v>
      </c>
      <c r="B238" s="16" t="s">
        <v>999</v>
      </c>
      <c r="C238" s="17"/>
      <c r="D238" s="16"/>
    </row>
    <row r="239" spans="1:4" x14ac:dyDescent="0.25">
      <c r="A239" s="10">
        <v>850</v>
      </c>
      <c r="B239" s="13" t="s">
        <v>312</v>
      </c>
      <c r="C239" s="17"/>
      <c r="D239" s="16"/>
    </row>
    <row r="240" spans="1:4" x14ac:dyDescent="0.25">
      <c r="A240" s="10">
        <v>851</v>
      </c>
      <c r="B240" s="13" t="s">
        <v>314</v>
      </c>
      <c r="C240" s="17"/>
      <c r="D240" s="16"/>
    </row>
    <row r="241" spans="1:4" x14ac:dyDescent="0.25">
      <c r="A241" s="10">
        <v>855</v>
      </c>
      <c r="B241" s="13" t="s">
        <v>316</v>
      </c>
      <c r="C241" s="17"/>
      <c r="D241" s="16"/>
    </row>
    <row r="242" spans="1:4" x14ac:dyDescent="0.25">
      <c r="A242" s="10">
        <v>857</v>
      </c>
      <c r="B242" s="13" t="s">
        <v>318</v>
      </c>
      <c r="C242" s="17"/>
      <c r="D242" s="16"/>
    </row>
    <row r="243" spans="1:4" x14ac:dyDescent="0.25">
      <c r="A243" s="10">
        <v>858</v>
      </c>
      <c r="B243" s="13" t="s">
        <v>320</v>
      </c>
      <c r="C243" s="17"/>
      <c r="D243" s="16"/>
    </row>
    <row r="244" spans="1:4" x14ac:dyDescent="0.25">
      <c r="A244" s="10">
        <v>860</v>
      </c>
      <c r="B244" s="13" t="s">
        <v>322</v>
      </c>
      <c r="C244" s="17"/>
      <c r="D244" s="16"/>
    </row>
    <row r="245" spans="1:4" x14ac:dyDescent="0.25">
      <c r="A245" s="10">
        <v>862</v>
      </c>
      <c r="B245" s="13" t="s">
        <v>324</v>
      </c>
      <c r="C245" s="17"/>
      <c r="D245" s="16"/>
    </row>
    <row r="246" spans="1:4" x14ac:dyDescent="0.25">
      <c r="A246" s="17">
        <v>863</v>
      </c>
      <c r="B246" s="16" t="s">
        <v>1000</v>
      </c>
      <c r="C246" s="17"/>
      <c r="D246" s="16"/>
    </row>
    <row r="247" spans="1:4" x14ac:dyDescent="0.25">
      <c r="A247" s="17">
        <v>864</v>
      </c>
      <c r="B247" s="16" t="s">
        <v>1001</v>
      </c>
      <c r="C247" s="17"/>
      <c r="D247" s="16"/>
    </row>
    <row r="248" spans="1:4" x14ac:dyDescent="0.25">
      <c r="A248" s="10">
        <v>866</v>
      </c>
      <c r="B248" s="13" t="s">
        <v>326</v>
      </c>
      <c r="C248" s="17"/>
      <c r="D248" s="16"/>
    </row>
    <row r="249" spans="1:4" x14ac:dyDescent="0.25">
      <c r="A249" s="10">
        <v>867</v>
      </c>
      <c r="B249" s="13" t="s">
        <v>328</v>
      </c>
      <c r="C249" s="17"/>
      <c r="D249" s="16"/>
    </row>
    <row r="250" spans="1:4" x14ac:dyDescent="0.25">
      <c r="A250" s="10">
        <v>869</v>
      </c>
      <c r="B250" s="13" t="s">
        <v>330</v>
      </c>
      <c r="C250" s="17"/>
      <c r="D250" s="16"/>
    </row>
    <row r="251" spans="1:4" x14ac:dyDescent="0.25">
      <c r="A251" s="17">
        <v>870</v>
      </c>
      <c r="B251" s="16" t="s">
        <v>331</v>
      </c>
      <c r="C251" s="17"/>
      <c r="D251" s="16"/>
    </row>
    <row r="252" spans="1:4" x14ac:dyDescent="0.25">
      <c r="A252" s="10">
        <v>873</v>
      </c>
      <c r="B252" s="13" t="s">
        <v>333</v>
      </c>
      <c r="C252" s="17"/>
      <c r="D252" s="16"/>
    </row>
    <row r="253" spans="1:4" x14ac:dyDescent="0.25">
      <c r="A253" s="10">
        <v>874</v>
      </c>
      <c r="B253" s="13" t="s">
        <v>335</v>
      </c>
      <c r="C253" s="17"/>
      <c r="D253" s="16"/>
    </row>
    <row r="254" spans="1:4" x14ac:dyDescent="0.25">
      <c r="A254" s="10">
        <v>877</v>
      </c>
      <c r="B254" s="13" t="s">
        <v>337</v>
      </c>
      <c r="C254" s="17"/>
      <c r="D254" s="16"/>
    </row>
    <row r="255" spans="1:4" x14ac:dyDescent="0.25">
      <c r="A255" s="10">
        <v>880</v>
      </c>
      <c r="B255" s="13" t="s">
        <v>339</v>
      </c>
      <c r="C255" s="17"/>
      <c r="D255" s="16"/>
    </row>
    <row r="256" spans="1:4" x14ac:dyDescent="0.25">
      <c r="A256" s="10">
        <v>882</v>
      </c>
      <c r="B256" s="13" t="s">
        <v>341</v>
      </c>
      <c r="C256" s="17"/>
      <c r="D256" s="16"/>
    </row>
    <row r="257" spans="1:4" x14ac:dyDescent="0.25">
      <c r="A257" s="10">
        <v>883</v>
      </c>
      <c r="B257" s="13" t="s">
        <v>343</v>
      </c>
      <c r="C257" s="17"/>
      <c r="D257" s="16"/>
    </row>
    <row r="258" spans="1:4" x14ac:dyDescent="0.25">
      <c r="A258" s="10">
        <v>884</v>
      </c>
      <c r="B258" s="13" t="s">
        <v>345</v>
      </c>
      <c r="C258" s="17"/>
      <c r="D258" s="16"/>
    </row>
    <row r="259" spans="1:4" x14ac:dyDescent="0.25">
      <c r="A259" s="10">
        <v>885</v>
      </c>
      <c r="B259" s="13" t="s">
        <v>347</v>
      </c>
      <c r="C259" s="17"/>
      <c r="D259" s="16"/>
    </row>
    <row r="260" spans="1:4" x14ac:dyDescent="0.25">
      <c r="A260" s="10">
        <v>886</v>
      </c>
      <c r="B260" s="13" t="s">
        <v>349</v>
      </c>
      <c r="C260" s="17"/>
      <c r="D260" s="16"/>
    </row>
    <row r="261" spans="1:4" x14ac:dyDescent="0.25">
      <c r="A261" s="10">
        <v>887</v>
      </c>
      <c r="B261" s="13" t="s">
        <v>351</v>
      </c>
      <c r="C261" s="17"/>
      <c r="D261" s="16"/>
    </row>
    <row r="262" spans="1:4" x14ac:dyDescent="0.25">
      <c r="A262" s="10">
        <v>890</v>
      </c>
      <c r="B262" s="13" t="s">
        <v>353</v>
      </c>
      <c r="C262" s="17"/>
      <c r="D262" s="16"/>
    </row>
    <row r="263" spans="1:4" x14ac:dyDescent="0.25">
      <c r="A263" s="10">
        <v>892</v>
      </c>
      <c r="B263" s="13" t="s">
        <v>355</v>
      </c>
      <c r="C263" s="17"/>
      <c r="D263" s="16"/>
    </row>
    <row r="264" spans="1:4" x14ac:dyDescent="0.25">
      <c r="A264" s="10">
        <v>893</v>
      </c>
      <c r="B264" s="13" t="s">
        <v>357</v>
      </c>
      <c r="C264" s="17"/>
      <c r="D264" s="16"/>
    </row>
    <row r="265" spans="1:4" x14ac:dyDescent="0.25">
      <c r="A265" s="10">
        <v>899</v>
      </c>
      <c r="B265" s="13" t="s">
        <v>359</v>
      </c>
      <c r="C265" s="17"/>
      <c r="D265" s="16"/>
    </row>
    <row r="266" spans="1:4" x14ac:dyDescent="0.25">
      <c r="A266" s="10">
        <v>900</v>
      </c>
      <c r="B266" s="13" t="s">
        <v>361</v>
      </c>
      <c r="C266" s="17"/>
      <c r="D266" s="16"/>
    </row>
    <row r="267" spans="1:4" x14ac:dyDescent="0.25">
      <c r="A267" s="10">
        <v>901</v>
      </c>
      <c r="B267" s="13" t="s">
        <v>363</v>
      </c>
      <c r="C267" s="17"/>
      <c r="D267" s="16"/>
    </row>
    <row r="268" spans="1:4" x14ac:dyDescent="0.25">
      <c r="A268" s="10">
        <v>902</v>
      </c>
      <c r="B268" s="13" t="s">
        <v>365</v>
      </c>
      <c r="C268" s="17"/>
      <c r="D268" s="16"/>
    </row>
    <row r="269" spans="1:4" x14ac:dyDescent="0.25">
      <c r="A269" s="17">
        <v>903</v>
      </c>
      <c r="B269" s="16" t="s">
        <v>1002</v>
      </c>
      <c r="C269" s="17"/>
      <c r="D269" s="16"/>
    </row>
    <row r="270" spans="1:4" x14ac:dyDescent="0.25">
      <c r="A270" s="17">
        <v>904</v>
      </c>
      <c r="B270" s="16" t="s">
        <v>366</v>
      </c>
      <c r="C270" s="17"/>
      <c r="D270" s="16"/>
    </row>
    <row r="271" spans="1:4" x14ac:dyDescent="0.25">
      <c r="A271" s="10">
        <v>908</v>
      </c>
      <c r="B271" s="13" t="s">
        <v>368</v>
      </c>
      <c r="C271" s="17"/>
      <c r="D271" s="16"/>
    </row>
    <row r="272" spans="1:4" x14ac:dyDescent="0.25">
      <c r="A272" s="7">
        <v>910</v>
      </c>
      <c r="B272" s="5" t="s">
        <v>369</v>
      </c>
      <c r="C272" s="17"/>
      <c r="D272" s="16"/>
    </row>
    <row r="273" spans="1:4" x14ac:dyDescent="0.25">
      <c r="A273" s="10">
        <v>911</v>
      </c>
      <c r="B273" s="13" t="s">
        <v>371</v>
      </c>
      <c r="C273" s="17"/>
      <c r="D273" s="16"/>
    </row>
    <row r="274" spans="1:4" x14ac:dyDescent="0.25">
      <c r="A274" s="10">
        <v>912</v>
      </c>
      <c r="B274" s="13" t="s">
        <v>373</v>
      </c>
      <c r="C274" s="17"/>
      <c r="D274" s="16"/>
    </row>
    <row r="275" spans="1:4" x14ac:dyDescent="0.25">
      <c r="A275" s="10">
        <v>913</v>
      </c>
      <c r="B275" s="13" t="s">
        <v>375</v>
      </c>
      <c r="C275" s="17"/>
      <c r="D275" s="16"/>
    </row>
    <row r="276" spans="1:4" x14ac:dyDescent="0.25">
      <c r="A276" s="10">
        <v>915</v>
      </c>
      <c r="B276" s="13" t="s">
        <v>377</v>
      </c>
      <c r="C276" s="17"/>
      <c r="D276" s="16"/>
    </row>
    <row r="277" spans="1:4" x14ac:dyDescent="0.25">
      <c r="A277" s="7">
        <v>917</v>
      </c>
      <c r="B277" s="5" t="s">
        <v>378</v>
      </c>
      <c r="C277" s="17"/>
      <c r="D277" s="16"/>
    </row>
    <row r="278" spans="1:4" x14ac:dyDescent="0.25">
      <c r="A278" s="10">
        <v>918</v>
      </c>
      <c r="B278" s="13" t="s">
        <v>380</v>
      </c>
      <c r="C278" s="17"/>
      <c r="D278" s="16"/>
    </row>
    <row r="279" spans="1:4" x14ac:dyDescent="0.25">
      <c r="A279" s="10">
        <v>919</v>
      </c>
      <c r="B279" s="13" t="s">
        <v>382</v>
      </c>
      <c r="C279" s="17"/>
      <c r="D279" s="16"/>
    </row>
    <row r="280" spans="1:4" x14ac:dyDescent="0.25">
      <c r="A280" s="10">
        <v>920</v>
      </c>
      <c r="B280" s="13" t="s">
        <v>384</v>
      </c>
      <c r="C280" s="17"/>
      <c r="D280" s="16"/>
    </row>
    <row r="281" spans="1:4" x14ac:dyDescent="0.25">
      <c r="A281" s="10">
        <v>924</v>
      </c>
      <c r="B281" s="13" t="s">
        <v>386</v>
      </c>
      <c r="C281" s="17"/>
      <c r="D281" s="16"/>
    </row>
    <row r="282" spans="1:4" x14ac:dyDescent="0.25">
      <c r="A282" s="10">
        <v>929</v>
      </c>
      <c r="B282" s="13" t="s">
        <v>388</v>
      </c>
      <c r="C282" s="17"/>
      <c r="D282" s="16"/>
    </row>
    <row r="283" spans="1:4" x14ac:dyDescent="0.25">
      <c r="A283" s="10">
        <v>930</v>
      </c>
      <c r="B283" s="13" t="s">
        <v>390</v>
      </c>
      <c r="C283" s="17"/>
      <c r="D283" s="16"/>
    </row>
    <row r="284" spans="1:4" x14ac:dyDescent="0.25">
      <c r="A284" s="10">
        <v>931</v>
      </c>
      <c r="B284" s="13" t="s">
        <v>392</v>
      </c>
      <c r="C284" s="17"/>
      <c r="D284" s="16"/>
    </row>
    <row r="285" spans="1:4" x14ac:dyDescent="0.25">
      <c r="A285" s="10">
        <v>933</v>
      </c>
      <c r="B285" s="13" t="s">
        <v>394</v>
      </c>
      <c r="C285" s="17"/>
      <c r="D285" s="16"/>
    </row>
    <row r="286" spans="1:4" x14ac:dyDescent="0.25">
      <c r="A286" s="10">
        <v>934</v>
      </c>
      <c r="B286" s="13" t="s">
        <v>396</v>
      </c>
      <c r="C286" s="17"/>
      <c r="D286" s="16"/>
    </row>
    <row r="287" spans="1:4" x14ac:dyDescent="0.25">
      <c r="A287" s="10">
        <v>938</v>
      </c>
      <c r="B287" s="13" t="s">
        <v>398</v>
      </c>
      <c r="C287" s="17"/>
      <c r="D287" s="16"/>
    </row>
    <row r="288" spans="1:4" x14ac:dyDescent="0.25">
      <c r="A288" s="10">
        <v>939</v>
      </c>
      <c r="B288" s="13" t="s">
        <v>400</v>
      </c>
      <c r="C288" s="17"/>
      <c r="D288" s="16"/>
    </row>
    <row r="289" spans="1:4" x14ac:dyDescent="0.25">
      <c r="A289" s="10">
        <v>940</v>
      </c>
      <c r="B289" s="13" t="s">
        <v>402</v>
      </c>
      <c r="C289" s="17"/>
      <c r="D289" s="16"/>
    </row>
    <row r="290" spans="1:4" x14ac:dyDescent="0.25">
      <c r="A290" s="10">
        <v>941</v>
      </c>
      <c r="B290" s="13" t="s">
        <v>404</v>
      </c>
      <c r="C290" s="17"/>
      <c r="D290" s="16"/>
    </row>
    <row r="291" spans="1:4" x14ac:dyDescent="0.25">
      <c r="A291" s="10">
        <v>942</v>
      </c>
      <c r="B291" s="13" t="s">
        <v>406</v>
      </c>
      <c r="C291" s="17"/>
      <c r="D291" s="16"/>
    </row>
    <row r="292" spans="1:4" x14ac:dyDescent="0.25">
      <c r="A292" s="10">
        <v>943</v>
      </c>
      <c r="B292" s="13" t="s">
        <v>408</v>
      </c>
      <c r="C292" s="17"/>
      <c r="D292" s="16"/>
    </row>
    <row r="293" spans="1:4" x14ac:dyDescent="0.25">
      <c r="A293" s="10">
        <v>950</v>
      </c>
      <c r="B293" s="13" t="s">
        <v>410</v>
      </c>
      <c r="C293" s="17"/>
      <c r="D293" s="16"/>
    </row>
    <row r="294" spans="1:4" x14ac:dyDescent="0.25">
      <c r="A294" s="10">
        <v>958</v>
      </c>
      <c r="B294" s="13" t="s">
        <v>412</v>
      </c>
      <c r="C294" s="17"/>
      <c r="D294" s="16"/>
    </row>
    <row r="295" spans="1:4" x14ac:dyDescent="0.25">
      <c r="A295" s="10">
        <v>962</v>
      </c>
      <c r="B295" s="13" t="s">
        <v>414</v>
      </c>
      <c r="C295" s="17"/>
      <c r="D295" s="16"/>
    </row>
    <row r="296" spans="1:4" x14ac:dyDescent="0.25">
      <c r="A296" s="10">
        <v>963</v>
      </c>
      <c r="B296" s="13" t="s">
        <v>416</v>
      </c>
      <c r="C296" s="17"/>
      <c r="D296" s="16"/>
    </row>
    <row r="297" spans="1:4" x14ac:dyDescent="0.25">
      <c r="A297" s="10">
        <v>964</v>
      </c>
      <c r="B297" s="13" t="s">
        <v>418</v>
      </c>
      <c r="C297" s="17"/>
      <c r="D297" s="16"/>
    </row>
    <row r="298" spans="1:4" x14ac:dyDescent="0.25">
      <c r="A298" s="10">
        <v>966</v>
      </c>
      <c r="B298" s="13" t="s">
        <v>420</v>
      </c>
      <c r="C298" s="17"/>
      <c r="D298" s="16"/>
    </row>
    <row r="299" spans="1:4" x14ac:dyDescent="0.25">
      <c r="A299" s="10">
        <v>967</v>
      </c>
      <c r="B299" s="13" t="s">
        <v>422</v>
      </c>
      <c r="C299" s="17"/>
      <c r="D299" s="16"/>
    </row>
    <row r="300" spans="1:4" x14ac:dyDescent="0.25">
      <c r="A300" s="10">
        <v>968</v>
      </c>
      <c r="B300" s="13" t="s">
        <v>424</v>
      </c>
      <c r="C300" s="17"/>
      <c r="D300" s="16"/>
    </row>
    <row r="301" spans="1:4" x14ac:dyDescent="0.25">
      <c r="A301" s="10">
        <v>969</v>
      </c>
      <c r="B301" s="13" t="s">
        <v>426</v>
      </c>
      <c r="C301" s="17"/>
      <c r="D301" s="16"/>
    </row>
    <row r="302" spans="1:4" x14ac:dyDescent="0.25">
      <c r="A302" s="10">
        <v>970</v>
      </c>
      <c r="B302" s="13" t="s">
        <v>428</v>
      </c>
      <c r="C302" s="17"/>
      <c r="D302" s="16"/>
    </row>
    <row r="303" spans="1:4" x14ac:dyDescent="0.25">
      <c r="A303" s="10">
        <v>971</v>
      </c>
      <c r="B303" s="13" t="s">
        <v>430</v>
      </c>
      <c r="C303" s="17"/>
      <c r="D303" s="16"/>
    </row>
    <row r="304" spans="1:4" x14ac:dyDescent="0.25">
      <c r="A304" s="10">
        <v>972</v>
      </c>
      <c r="B304" s="13" t="s">
        <v>432</v>
      </c>
      <c r="C304" s="17"/>
      <c r="D304" s="16"/>
    </row>
    <row r="305" spans="1:4" x14ac:dyDescent="0.25">
      <c r="A305" s="10">
        <v>973</v>
      </c>
      <c r="B305" s="13" t="s">
        <v>434</v>
      </c>
      <c r="C305" s="17"/>
      <c r="D305" s="16"/>
    </row>
    <row r="306" spans="1:4" x14ac:dyDescent="0.25">
      <c r="A306" s="10">
        <v>974</v>
      </c>
      <c r="B306" s="13" t="s">
        <v>436</v>
      </c>
      <c r="C306" s="17"/>
      <c r="D306" s="16"/>
    </row>
    <row r="307" spans="1:4" x14ac:dyDescent="0.25">
      <c r="A307" s="10">
        <v>977</v>
      </c>
      <c r="B307" s="13" t="s">
        <v>438</v>
      </c>
      <c r="C307" s="17"/>
      <c r="D307" s="16"/>
    </row>
    <row r="308" spans="1:4" x14ac:dyDescent="0.25">
      <c r="A308" s="10">
        <v>978</v>
      </c>
      <c r="B308" s="13" t="s">
        <v>892</v>
      </c>
      <c r="C308" s="17"/>
      <c r="D308" s="16"/>
    </row>
    <row r="309" spans="1:4" x14ac:dyDescent="0.25">
      <c r="A309" s="10">
        <v>980</v>
      </c>
      <c r="B309" s="13" t="s">
        <v>440</v>
      </c>
      <c r="C309" s="17"/>
      <c r="D309" s="16"/>
    </row>
    <row r="310" spans="1:4" x14ac:dyDescent="0.25">
      <c r="A310" s="10">
        <v>981</v>
      </c>
      <c r="B310" s="13" t="s">
        <v>442</v>
      </c>
      <c r="C310" s="17"/>
      <c r="D310" s="16"/>
    </row>
    <row r="311" spans="1:4" x14ac:dyDescent="0.25">
      <c r="A311" s="10">
        <v>982</v>
      </c>
      <c r="B311" s="13" t="s">
        <v>444</v>
      </c>
      <c r="C311" s="17"/>
      <c r="D311" s="16"/>
    </row>
    <row r="312" spans="1:4" x14ac:dyDescent="0.25">
      <c r="A312" s="10">
        <v>983</v>
      </c>
      <c r="B312" s="13" t="s">
        <v>446</v>
      </c>
      <c r="C312" s="17"/>
      <c r="D312" s="16"/>
    </row>
    <row r="313" spans="1:4" x14ac:dyDescent="0.25">
      <c r="A313" s="7">
        <v>1004</v>
      </c>
      <c r="B313" s="5" t="s">
        <v>447</v>
      </c>
      <c r="C313" s="17"/>
      <c r="D313" s="16"/>
    </row>
    <row r="314" spans="1:4" x14ac:dyDescent="0.25">
      <c r="A314" s="7">
        <v>1005</v>
      </c>
      <c r="B314" s="5" t="s">
        <v>448</v>
      </c>
      <c r="C314" s="17"/>
      <c r="D314" s="16"/>
    </row>
    <row r="315" spans="1:4" x14ac:dyDescent="0.25">
      <c r="A315" s="7">
        <v>1006</v>
      </c>
      <c r="B315" s="5" t="s">
        <v>449</v>
      </c>
      <c r="C315" s="17"/>
      <c r="D315" s="16"/>
    </row>
    <row r="316" spans="1:4" x14ac:dyDescent="0.25">
      <c r="A316" s="7">
        <v>1013</v>
      </c>
      <c r="B316" s="5" t="s">
        <v>450</v>
      </c>
      <c r="C316" s="17"/>
      <c r="D316" s="16"/>
    </row>
    <row r="317" spans="1:4" x14ac:dyDescent="0.25">
      <c r="A317" s="7">
        <v>1017</v>
      </c>
      <c r="B317" s="5" t="s">
        <v>451</v>
      </c>
      <c r="C317" s="17"/>
      <c r="D317" s="16"/>
    </row>
    <row r="318" spans="1:4" x14ac:dyDescent="0.25">
      <c r="A318" s="7">
        <v>1019</v>
      </c>
      <c r="B318" s="5" t="s">
        <v>452</v>
      </c>
      <c r="C318" s="17"/>
      <c r="D318" s="16"/>
    </row>
    <row r="319" spans="1:4" x14ac:dyDescent="0.25">
      <c r="A319" s="7">
        <v>1023</v>
      </c>
      <c r="B319" s="5" t="s">
        <v>453</v>
      </c>
      <c r="C319" s="17"/>
      <c r="D319" s="16"/>
    </row>
    <row r="320" spans="1:4" x14ac:dyDescent="0.25">
      <c r="A320" s="10">
        <v>1049</v>
      </c>
      <c r="B320" s="13" t="s">
        <v>455</v>
      </c>
      <c r="C320" s="17"/>
      <c r="D320" s="16"/>
    </row>
    <row r="321" spans="1:4" x14ac:dyDescent="0.25">
      <c r="A321" s="7">
        <v>1050</v>
      </c>
      <c r="B321" s="5" t="s">
        <v>456</v>
      </c>
      <c r="C321" s="17"/>
      <c r="D321" s="16"/>
    </row>
    <row r="322" spans="1:4" x14ac:dyDescent="0.25">
      <c r="A322" s="7">
        <v>1085</v>
      </c>
      <c r="B322" s="5" t="s">
        <v>457</v>
      </c>
      <c r="C322" s="17"/>
      <c r="D322" s="16"/>
    </row>
    <row r="323" spans="1:4" x14ac:dyDescent="0.25">
      <c r="A323" s="17">
        <v>1126</v>
      </c>
      <c r="B323" s="16" t="s">
        <v>1003</v>
      </c>
      <c r="C323" s="17"/>
      <c r="D323" s="16"/>
    </row>
    <row r="324" spans="1:4" x14ac:dyDescent="0.25">
      <c r="A324" s="10">
        <v>1128</v>
      </c>
      <c r="B324" s="13" t="s">
        <v>893</v>
      </c>
      <c r="C324" s="17"/>
      <c r="D324" s="16"/>
    </row>
    <row r="325" spans="1:4" x14ac:dyDescent="0.25">
      <c r="A325" s="17">
        <v>1129</v>
      </c>
      <c r="B325" s="16" t="s">
        <v>1004</v>
      </c>
      <c r="C325" s="17"/>
      <c r="D325" s="16"/>
    </row>
    <row r="326" spans="1:4" x14ac:dyDescent="0.25">
      <c r="A326" s="10">
        <v>1132</v>
      </c>
      <c r="B326" s="13" t="s">
        <v>459</v>
      </c>
      <c r="C326" s="17"/>
      <c r="D326" s="16"/>
    </row>
    <row r="327" spans="1:4" x14ac:dyDescent="0.25">
      <c r="A327" s="10">
        <v>1137</v>
      </c>
      <c r="B327" s="13" t="s">
        <v>894</v>
      </c>
      <c r="C327" s="17"/>
      <c r="D327" s="16"/>
    </row>
    <row r="328" spans="1:4" x14ac:dyDescent="0.25">
      <c r="A328" s="17">
        <v>1138</v>
      </c>
      <c r="B328" s="16" t="s">
        <v>460</v>
      </c>
      <c r="C328" s="17"/>
      <c r="D328" s="16"/>
    </row>
    <row r="329" spans="1:4" x14ac:dyDescent="0.25">
      <c r="A329" s="10">
        <v>1141</v>
      </c>
      <c r="B329" s="13" t="s">
        <v>895</v>
      </c>
      <c r="C329" s="17"/>
      <c r="D329" s="16"/>
    </row>
    <row r="330" spans="1:4" x14ac:dyDescent="0.25">
      <c r="A330" s="10">
        <v>1151</v>
      </c>
      <c r="B330" s="13" t="s">
        <v>462</v>
      </c>
      <c r="C330" s="17"/>
      <c r="D330" s="16"/>
    </row>
    <row r="331" spans="1:4" x14ac:dyDescent="0.25">
      <c r="A331" s="10">
        <v>1160</v>
      </c>
      <c r="B331" s="13" t="s">
        <v>464</v>
      </c>
      <c r="C331" s="17"/>
      <c r="D331" s="16"/>
    </row>
    <row r="332" spans="1:4" x14ac:dyDescent="0.25">
      <c r="A332" s="17">
        <v>1174</v>
      </c>
      <c r="B332" s="16" t="s">
        <v>465</v>
      </c>
      <c r="C332" s="17"/>
      <c r="D332" s="16"/>
    </row>
    <row r="333" spans="1:4" x14ac:dyDescent="0.25">
      <c r="A333" s="10">
        <v>1175</v>
      </c>
      <c r="B333" s="13" t="s">
        <v>896</v>
      </c>
      <c r="C333" s="17"/>
      <c r="D333" s="16"/>
    </row>
    <row r="334" spans="1:4" x14ac:dyDescent="0.25">
      <c r="A334" s="10">
        <v>1176</v>
      </c>
      <c r="B334" s="13" t="s">
        <v>897</v>
      </c>
      <c r="C334" s="17"/>
      <c r="D334" s="16"/>
    </row>
    <row r="335" spans="1:4" x14ac:dyDescent="0.25">
      <c r="A335" s="10">
        <v>1202</v>
      </c>
      <c r="B335" s="13" t="s">
        <v>467</v>
      </c>
      <c r="C335" s="17"/>
      <c r="D335" s="16"/>
    </row>
    <row r="336" spans="1:4" x14ac:dyDescent="0.25">
      <c r="A336" s="10">
        <v>1203</v>
      </c>
      <c r="B336" s="13" t="s">
        <v>469</v>
      </c>
      <c r="C336" s="17"/>
      <c r="D336" s="16"/>
    </row>
    <row r="337" spans="1:4" x14ac:dyDescent="0.25">
      <c r="A337" s="10">
        <v>1204</v>
      </c>
      <c r="B337" s="13" t="s">
        <v>471</v>
      </c>
      <c r="C337" s="17"/>
      <c r="D337" s="16"/>
    </row>
    <row r="338" spans="1:4" x14ac:dyDescent="0.25">
      <c r="A338" s="10">
        <v>1205</v>
      </c>
      <c r="B338" s="13" t="s">
        <v>473</v>
      </c>
      <c r="C338" s="17"/>
      <c r="D338" s="16"/>
    </row>
    <row r="339" spans="1:4" x14ac:dyDescent="0.25">
      <c r="A339" s="17">
        <v>1208</v>
      </c>
      <c r="B339" s="16" t="s">
        <v>474</v>
      </c>
      <c r="C339" s="17"/>
      <c r="D339" s="16"/>
    </row>
    <row r="340" spans="1:4" x14ac:dyDescent="0.25">
      <c r="A340" s="10">
        <v>1213</v>
      </c>
      <c r="B340" s="13" t="s">
        <v>476</v>
      </c>
      <c r="C340" s="17"/>
      <c r="D340" s="16"/>
    </row>
    <row r="341" spans="1:4" x14ac:dyDescent="0.25">
      <c r="A341" s="17">
        <v>1216</v>
      </c>
      <c r="B341" s="16" t="s">
        <v>1005</v>
      </c>
      <c r="C341" s="17"/>
      <c r="D341" s="16"/>
    </row>
    <row r="342" spans="1:4" x14ac:dyDescent="0.25">
      <c r="A342" s="10">
        <v>1218</v>
      </c>
      <c r="B342" s="13" t="s">
        <v>478</v>
      </c>
      <c r="C342" s="17"/>
      <c r="D342" s="16"/>
    </row>
    <row r="343" spans="1:4" x14ac:dyDescent="0.25">
      <c r="A343" s="10">
        <v>1219</v>
      </c>
      <c r="B343" s="13" t="s">
        <v>480</v>
      </c>
      <c r="C343" s="17"/>
      <c r="D343" s="16"/>
    </row>
    <row r="344" spans="1:4" x14ac:dyDescent="0.25">
      <c r="A344" s="10">
        <v>1222</v>
      </c>
      <c r="B344" s="13" t="s">
        <v>482</v>
      </c>
      <c r="C344" s="17"/>
      <c r="D344" s="16"/>
    </row>
    <row r="345" spans="1:4" x14ac:dyDescent="0.25">
      <c r="A345" s="10">
        <v>1225</v>
      </c>
      <c r="B345" s="13" t="s">
        <v>484</v>
      </c>
      <c r="C345" s="17"/>
      <c r="D345" s="16"/>
    </row>
    <row r="346" spans="1:4" x14ac:dyDescent="0.25">
      <c r="A346" s="10">
        <v>1226</v>
      </c>
      <c r="B346" s="13" t="s">
        <v>486</v>
      </c>
      <c r="C346" s="17"/>
      <c r="D346" s="16"/>
    </row>
    <row r="347" spans="1:4" x14ac:dyDescent="0.25">
      <c r="A347" s="17">
        <v>1230</v>
      </c>
      <c r="B347" s="16" t="s">
        <v>487</v>
      </c>
      <c r="C347" s="17"/>
      <c r="D347" s="16"/>
    </row>
    <row r="348" spans="1:4" x14ac:dyDescent="0.25">
      <c r="A348" s="10">
        <v>1234</v>
      </c>
      <c r="B348" s="13" t="s">
        <v>489</v>
      </c>
      <c r="C348" s="17"/>
      <c r="D348" s="16"/>
    </row>
    <row r="349" spans="1:4" x14ac:dyDescent="0.25">
      <c r="A349" s="17">
        <v>1239</v>
      </c>
      <c r="B349" s="16" t="s">
        <v>1006</v>
      </c>
      <c r="C349" s="17"/>
      <c r="D349" s="16"/>
    </row>
    <row r="350" spans="1:4" x14ac:dyDescent="0.25">
      <c r="A350" s="17">
        <v>1253</v>
      </c>
      <c r="B350" s="16" t="s">
        <v>490</v>
      </c>
      <c r="C350" s="17"/>
      <c r="D350" s="16"/>
    </row>
    <row r="351" spans="1:4" x14ac:dyDescent="0.25">
      <c r="A351" s="10">
        <v>1254</v>
      </c>
      <c r="B351" s="13" t="s">
        <v>492</v>
      </c>
      <c r="C351" s="17"/>
      <c r="D351" s="16"/>
    </row>
    <row r="352" spans="1:4" x14ac:dyDescent="0.25">
      <c r="A352" s="17">
        <v>1257</v>
      </c>
      <c r="B352" s="16" t="s">
        <v>493</v>
      </c>
      <c r="C352" s="17"/>
      <c r="D352" s="16"/>
    </row>
    <row r="353" spans="1:4" x14ac:dyDescent="0.25">
      <c r="A353" s="10">
        <v>1260</v>
      </c>
      <c r="B353" s="13" t="s">
        <v>495</v>
      </c>
      <c r="C353" s="17"/>
      <c r="D353" s="16"/>
    </row>
    <row r="354" spans="1:4" x14ac:dyDescent="0.25">
      <c r="A354" s="10">
        <v>1270</v>
      </c>
      <c r="B354" s="13" t="s">
        <v>497</v>
      </c>
      <c r="C354" s="17"/>
      <c r="D354" s="16"/>
    </row>
    <row r="355" spans="1:4" x14ac:dyDescent="0.25">
      <c r="A355" s="10">
        <v>1273</v>
      </c>
      <c r="B355" s="13" t="s">
        <v>499</v>
      </c>
      <c r="C355" s="17"/>
      <c r="D355" s="16"/>
    </row>
    <row r="356" spans="1:4" x14ac:dyDescent="0.25">
      <c r="A356" s="10">
        <v>1274</v>
      </c>
      <c r="B356" s="13" t="s">
        <v>501</v>
      </c>
      <c r="C356" s="17"/>
      <c r="D356" s="16"/>
    </row>
    <row r="357" spans="1:4" x14ac:dyDescent="0.25">
      <c r="A357" s="10">
        <v>1276</v>
      </c>
      <c r="B357" s="13" t="s">
        <v>503</v>
      </c>
      <c r="C357" s="17"/>
      <c r="D357" s="16"/>
    </row>
    <row r="358" spans="1:4" x14ac:dyDescent="0.25">
      <c r="A358" s="10">
        <v>1277</v>
      </c>
      <c r="B358" s="13" t="s">
        <v>505</v>
      </c>
      <c r="C358" s="17"/>
      <c r="D358" s="16"/>
    </row>
    <row r="359" spans="1:4" x14ac:dyDescent="0.25">
      <c r="A359" s="10">
        <v>1278</v>
      </c>
      <c r="B359" s="13" t="s">
        <v>507</v>
      </c>
      <c r="C359" s="17"/>
      <c r="D359" s="16"/>
    </row>
    <row r="360" spans="1:4" x14ac:dyDescent="0.25">
      <c r="A360" s="10">
        <v>1282</v>
      </c>
      <c r="B360" s="13" t="s">
        <v>509</v>
      </c>
      <c r="C360" s="17"/>
      <c r="D360" s="16"/>
    </row>
    <row r="361" spans="1:4" x14ac:dyDescent="0.25">
      <c r="A361" s="10">
        <v>1284</v>
      </c>
      <c r="B361" s="13" t="s">
        <v>511</v>
      </c>
      <c r="C361" s="17"/>
      <c r="D361" s="16"/>
    </row>
    <row r="362" spans="1:4" x14ac:dyDescent="0.25">
      <c r="A362" s="10">
        <v>1285</v>
      </c>
      <c r="B362" s="13" t="s">
        <v>513</v>
      </c>
      <c r="C362" s="17"/>
      <c r="D362" s="16"/>
    </row>
    <row r="363" spans="1:4" x14ac:dyDescent="0.25">
      <c r="A363" s="17">
        <v>1313</v>
      </c>
      <c r="B363" s="16" t="s">
        <v>514</v>
      </c>
      <c r="C363" s="17"/>
      <c r="D363" s="16"/>
    </row>
    <row r="364" spans="1:4" x14ac:dyDescent="0.25">
      <c r="A364" s="10">
        <v>1320</v>
      </c>
      <c r="B364" s="13" t="s">
        <v>516</v>
      </c>
      <c r="C364" s="17"/>
      <c r="D364" s="16"/>
    </row>
    <row r="365" spans="1:4" x14ac:dyDescent="0.25">
      <c r="A365" s="10">
        <v>1325</v>
      </c>
      <c r="B365" s="13" t="s">
        <v>518</v>
      </c>
      <c r="C365" s="17"/>
      <c r="D365" s="16"/>
    </row>
    <row r="366" spans="1:4" x14ac:dyDescent="0.25">
      <c r="A366" s="10">
        <v>1327</v>
      </c>
      <c r="B366" s="13" t="s">
        <v>520</v>
      </c>
      <c r="C366" s="17"/>
      <c r="D366" s="16"/>
    </row>
    <row r="367" spans="1:4" x14ac:dyDescent="0.25">
      <c r="A367" s="17">
        <v>1346</v>
      </c>
      <c r="B367" s="16" t="s">
        <v>521</v>
      </c>
      <c r="C367" s="17"/>
      <c r="D367" s="16"/>
    </row>
    <row r="368" spans="1:4" x14ac:dyDescent="0.25">
      <c r="A368" s="10">
        <v>1504</v>
      </c>
      <c r="B368" s="13" t="s">
        <v>523</v>
      </c>
      <c r="C368" s="17"/>
      <c r="D368" s="16"/>
    </row>
    <row r="369" spans="1:4" x14ac:dyDescent="0.25">
      <c r="A369" s="10">
        <v>1508</v>
      </c>
      <c r="B369" s="13" t="s">
        <v>525</v>
      </c>
      <c r="C369" s="17"/>
      <c r="D369" s="16"/>
    </row>
    <row r="370" spans="1:4" x14ac:dyDescent="0.25">
      <c r="A370" s="10">
        <v>1517</v>
      </c>
      <c r="B370" s="13" t="s">
        <v>527</v>
      </c>
      <c r="C370" s="17"/>
      <c r="D370" s="16"/>
    </row>
    <row r="371" spans="1:4" x14ac:dyDescent="0.25">
      <c r="A371" s="10">
        <v>1518</v>
      </c>
      <c r="B371" s="13" t="s">
        <v>529</v>
      </c>
      <c r="C371" s="17"/>
      <c r="D371" s="16"/>
    </row>
    <row r="372" spans="1:4" x14ac:dyDescent="0.25">
      <c r="A372" s="17">
        <v>1521</v>
      </c>
      <c r="B372" s="16" t="s">
        <v>530</v>
      </c>
      <c r="C372" s="17"/>
      <c r="D372" s="16"/>
    </row>
    <row r="373" spans="1:4" x14ac:dyDescent="0.25">
      <c r="A373" s="10">
        <v>1524</v>
      </c>
      <c r="B373" s="13" t="s">
        <v>532</v>
      </c>
      <c r="C373" s="17"/>
      <c r="D373" s="16"/>
    </row>
    <row r="374" spans="1:4" x14ac:dyDescent="0.25">
      <c r="A374" s="10">
        <v>1526</v>
      </c>
      <c r="B374" s="13" t="s">
        <v>534</v>
      </c>
      <c r="C374" s="17"/>
      <c r="D374" s="16"/>
    </row>
    <row r="375" spans="1:4" x14ac:dyDescent="0.25">
      <c r="A375" s="10">
        <v>1527</v>
      </c>
      <c r="B375" s="13" t="s">
        <v>536</v>
      </c>
      <c r="C375" s="17"/>
      <c r="D375" s="16"/>
    </row>
    <row r="376" spans="1:4" x14ac:dyDescent="0.25">
      <c r="A376" s="10">
        <v>1530</v>
      </c>
      <c r="B376" s="13" t="s">
        <v>538</v>
      </c>
      <c r="C376" s="17"/>
      <c r="D376" s="16"/>
    </row>
    <row r="377" spans="1:4" x14ac:dyDescent="0.25">
      <c r="A377" s="10">
        <v>1533</v>
      </c>
      <c r="B377" s="13" t="s">
        <v>540</v>
      </c>
      <c r="C377" s="17"/>
      <c r="D377" s="16"/>
    </row>
    <row r="378" spans="1:4" x14ac:dyDescent="0.25">
      <c r="A378" s="10">
        <v>1535</v>
      </c>
      <c r="B378" s="13" t="s">
        <v>542</v>
      </c>
      <c r="C378" s="17"/>
      <c r="D378" s="16"/>
    </row>
    <row r="379" spans="1:4" x14ac:dyDescent="0.25">
      <c r="A379" s="17">
        <v>1536</v>
      </c>
      <c r="B379" s="16" t="s">
        <v>543</v>
      </c>
      <c r="C379" s="17"/>
      <c r="D379" s="16"/>
    </row>
    <row r="380" spans="1:4" x14ac:dyDescent="0.25">
      <c r="A380" s="10">
        <v>1538</v>
      </c>
      <c r="B380" s="13" t="s">
        <v>545</v>
      </c>
      <c r="C380" s="17"/>
      <c r="D380" s="16"/>
    </row>
    <row r="381" spans="1:4" x14ac:dyDescent="0.25">
      <c r="A381" s="17">
        <v>1541</v>
      </c>
      <c r="B381" s="16" t="s">
        <v>1007</v>
      </c>
      <c r="C381" s="17"/>
      <c r="D381" s="16"/>
    </row>
    <row r="382" spans="1:4" x14ac:dyDescent="0.25">
      <c r="A382" s="17">
        <v>1542</v>
      </c>
      <c r="B382" s="16" t="s">
        <v>546</v>
      </c>
      <c r="C382" s="17"/>
      <c r="D382" s="16"/>
    </row>
    <row r="383" spans="1:4" x14ac:dyDescent="0.25">
      <c r="A383" s="10">
        <v>1543</v>
      </c>
      <c r="B383" s="13" t="s">
        <v>548</v>
      </c>
      <c r="C383" s="17"/>
      <c r="D383" s="16"/>
    </row>
    <row r="384" spans="1:4" x14ac:dyDescent="0.25">
      <c r="A384" s="10">
        <v>1544</v>
      </c>
      <c r="B384" s="13" t="s">
        <v>550</v>
      </c>
      <c r="C384" s="17"/>
      <c r="D384" s="16"/>
    </row>
    <row r="385" spans="1:4" x14ac:dyDescent="0.25">
      <c r="A385" s="10">
        <v>1546</v>
      </c>
      <c r="B385" s="13" t="s">
        <v>552</v>
      </c>
      <c r="C385" s="17"/>
      <c r="D385" s="16"/>
    </row>
    <row r="386" spans="1:4" x14ac:dyDescent="0.25">
      <c r="A386" s="17">
        <v>1548</v>
      </c>
      <c r="B386" s="16" t="s">
        <v>1008</v>
      </c>
      <c r="C386" s="17"/>
      <c r="D386" s="16"/>
    </row>
    <row r="387" spans="1:4" x14ac:dyDescent="0.25">
      <c r="A387" s="10">
        <v>1551</v>
      </c>
      <c r="B387" s="13" t="s">
        <v>554</v>
      </c>
      <c r="C387" s="17"/>
      <c r="D387" s="16"/>
    </row>
    <row r="388" spans="1:4" x14ac:dyDescent="0.25">
      <c r="A388" s="10">
        <v>1553</v>
      </c>
      <c r="B388" s="13" t="s">
        <v>898</v>
      </c>
      <c r="C388" s="17"/>
      <c r="D388" s="16"/>
    </row>
    <row r="389" spans="1:4" x14ac:dyDescent="0.25">
      <c r="A389" s="17">
        <v>1554</v>
      </c>
      <c r="B389" s="16" t="s">
        <v>555</v>
      </c>
      <c r="C389" s="17"/>
      <c r="D389" s="16"/>
    </row>
    <row r="390" spans="1:4" x14ac:dyDescent="0.25">
      <c r="A390" s="10">
        <v>1560</v>
      </c>
      <c r="B390" s="13" t="s">
        <v>557</v>
      </c>
      <c r="C390" s="17"/>
      <c r="D390" s="16"/>
    </row>
    <row r="391" spans="1:4" x14ac:dyDescent="0.25">
      <c r="A391" s="10">
        <v>1562</v>
      </c>
      <c r="B391" s="13" t="s">
        <v>559</v>
      </c>
      <c r="C391" s="17"/>
      <c r="D391" s="16"/>
    </row>
    <row r="392" spans="1:4" x14ac:dyDescent="0.25">
      <c r="A392" s="10">
        <v>1563</v>
      </c>
      <c r="B392" s="13" t="s">
        <v>561</v>
      </c>
      <c r="C392" s="17"/>
      <c r="D392" s="16"/>
    </row>
    <row r="393" spans="1:4" x14ac:dyDescent="0.25">
      <c r="A393" s="10">
        <v>1567</v>
      </c>
      <c r="B393" s="13" t="s">
        <v>563</v>
      </c>
      <c r="C393" s="17"/>
      <c r="D393" s="16"/>
    </row>
    <row r="394" spans="1:4" x14ac:dyDescent="0.25">
      <c r="A394" s="10">
        <v>1568</v>
      </c>
      <c r="B394" s="13" t="s">
        <v>565</v>
      </c>
      <c r="C394" s="17"/>
      <c r="D394" s="16"/>
    </row>
    <row r="395" spans="1:4" x14ac:dyDescent="0.25">
      <c r="A395" s="10">
        <v>1569</v>
      </c>
      <c r="B395" s="13" t="s">
        <v>567</v>
      </c>
      <c r="C395" s="17"/>
      <c r="D395" s="16"/>
    </row>
    <row r="396" spans="1:4" x14ac:dyDescent="0.25">
      <c r="A396" s="17">
        <v>1571</v>
      </c>
      <c r="B396" s="16" t="s">
        <v>568</v>
      </c>
      <c r="C396" s="17"/>
      <c r="D396" s="16"/>
    </row>
    <row r="397" spans="1:4" x14ac:dyDescent="0.25">
      <c r="A397" s="10">
        <v>1576</v>
      </c>
      <c r="B397" s="13" t="s">
        <v>899</v>
      </c>
      <c r="C397" s="17"/>
      <c r="D397" s="16"/>
    </row>
    <row r="398" spans="1:4" x14ac:dyDescent="0.25">
      <c r="A398" s="10">
        <v>1600</v>
      </c>
      <c r="B398" s="13" t="s">
        <v>570</v>
      </c>
      <c r="C398" s="17"/>
      <c r="D398" s="16"/>
    </row>
    <row r="399" spans="1:4" x14ac:dyDescent="0.25">
      <c r="A399" s="10">
        <v>1601</v>
      </c>
      <c r="B399" s="13" t="s">
        <v>572</v>
      </c>
      <c r="C399" s="17"/>
      <c r="D399" s="16"/>
    </row>
    <row r="400" spans="1:4" x14ac:dyDescent="0.25">
      <c r="A400" s="10">
        <v>1602</v>
      </c>
      <c r="B400" s="13" t="s">
        <v>900</v>
      </c>
      <c r="C400" s="17"/>
      <c r="D400" s="16"/>
    </row>
    <row r="401" spans="1:4" x14ac:dyDescent="0.25">
      <c r="A401" s="10">
        <v>1603</v>
      </c>
      <c r="B401" s="13" t="s">
        <v>901</v>
      </c>
      <c r="C401" s="17"/>
      <c r="D401" s="16"/>
    </row>
    <row r="402" spans="1:4" x14ac:dyDescent="0.25">
      <c r="A402" s="10">
        <v>1604</v>
      </c>
      <c r="B402" s="13" t="s">
        <v>574</v>
      </c>
      <c r="C402" s="17"/>
      <c r="D402" s="16"/>
    </row>
    <row r="403" spans="1:4" x14ac:dyDescent="0.25">
      <c r="A403" s="10">
        <v>1608</v>
      </c>
      <c r="B403" s="13" t="s">
        <v>576</v>
      </c>
      <c r="C403" s="17"/>
      <c r="D403" s="16"/>
    </row>
    <row r="404" spans="1:4" x14ac:dyDescent="0.25">
      <c r="A404" s="10">
        <v>1610</v>
      </c>
      <c r="B404" s="13" t="s">
        <v>578</v>
      </c>
      <c r="C404" s="17"/>
      <c r="D404" s="16"/>
    </row>
    <row r="405" spans="1:4" x14ac:dyDescent="0.25">
      <c r="A405" s="10">
        <v>1615</v>
      </c>
      <c r="B405" s="13" t="s">
        <v>580</v>
      </c>
      <c r="C405" s="17"/>
      <c r="D405" s="16"/>
    </row>
    <row r="406" spans="1:4" x14ac:dyDescent="0.25">
      <c r="A406" s="10">
        <v>1632</v>
      </c>
      <c r="B406" s="13" t="s">
        <v>582</v>
      </c>
      <c r="C406" s="17"/>
      <c r="D406" s="16"/>
    </row>
    <row r="407" spans="1:4" x14ac:dyDescent="0.25">
      <c r="A407" s="17">
        <v>1686</v>
      </c>
      <c r="B407" s="16" t="s">
        <v>583</v>
      </c>
      <c r="C407" s="17"/>
      <c r="D407" s="16"/>
    </row>
    <row r="408" spans="1:4" x14ac:dyDescent="0.25">
      <c r="A408" s="10">
        <v>1700</v>
      </c>
      <c r="B408" s="13" t="s">
        <v>585</v>
      </c>
      <c r="C408" s="17"/>
      <c r="D408" s="16"/>
    </row>
    <row r="409" spans="1:4" x14ac:dyDescent="0.25">
      <c r="A409" s="17">
        <v>1701</v>
      </c>
      <c r="B409" s="16" t="s">
        <v>586</v>
      </c>
      <c r="C409" s="17"/>
      <c r="D409" s="16"/>
    </row>
    <row r="410" spans="1:4" x14ac:dyDescent="0.25">
      <c r="A410" s="17">
        <v>1702</v>
      </c>
      <c r="B410" s="16" t="s">
        <v>587</v>
      </c>
      <c r="C410" s="17"/>
      <c r="D410" s="16"/>
    </row>
    <row r="411" spans="1:4" x14ac:dyDescent="0.25">
      <c r="A411" s="10">
        <v>1704</v>
      </c>
      <c r="B411" s="13" t="s">
        <v>589</v>
      </c>
      <c r="C411" s="17"/>
      <c r="D411" s="16"/>
    </row>
    <row r="412" spans="1:4" x14ac:dyDescent="0.25">
      <c r="A412" s="10">
        <v>1706</v>
      </c>
      <c r="B412" s="13" t="s">
        <v>591</v>
      </c>
      <c r="C412" s="17"/>
      <c r="D412" s="16"/>
    </row>
    <row r="413" spans="1:4" x14ac:dyDescent="0.25">
      <c r="A413" s="7">
        <v>1711</v>
      </c>
      <c r="B413" s="5" t="s">
        <v>592</v>
      </c>
      <c r="C413" s="17"/>
      <c r="D413" s="16"/>
    </row>
    <row r="414" spans="1:4" x14ac:dyDescent="0.25">
      <c r="A414" s="17">
        <v>1713</v>
      </c>
      <c r="B414" s="16" t="s">
        <v>1009</v>
      </c>
      <c r="C414" s="17"/>
      <c r="D414" s="16"/>
    </row>
    <row r="415" spans="1:4" x14ac:dyDescent="0.25">
      <c r="A415" s="10">
        <v>1717</v>
      </c>
      <c r="B415" s="13" t="s">
        <v>902</v>
      </c>
      <c r="C415" s="17"/>
      <c r="D415" s="16"/>
    </row>
    <row r="416" spans="1:4" x14ac:dyDescent="0.25">
      <c r="A416" s="10">
        <v>1720</v>
      </c>
      <c r="B416" s="13" t="s">
        <v>594</v>
      </c>
      <c r="C416" s="17"/>
      <c r="D416" s="16"/>
    </row>
    <row r="417" spans="1:4" x14ac:dyDescent="0.25">
      <c r="A417" s="10">
        <v>1724</v>
      </c>
      <c r="B417" s="13" t="s">
        <v>596</v>
      </c>
      <c r="C417" s="17"/>
      <c r="D417" s="16"/>
    </row>
    <row r="418" spans="1:4" x14ac:dyDescent="0.25">
      <c r="A418" s="10">
        <v>1727</v>
      </c>
      <c r="B418" s="13" t="s">
        <v>598</v>
      </c>
      <c r="C418" s="17"/>
      <c r="D418" s="16"/>
    </row>
    <row r="419" spans="1:4" x14ac:dyDescent="0.25">
      <c r="A419" s="10">
        <v>1729</v>
      </c>
      <c r="B419" s="13" t="s">
        <v>600</v>
      </c>
      <c r="C419" s="17"/>
      <c r="D419" s="16"/>
    </row>
    <row r="420" spans="1:4" x14ac:dyDescent="0.25">
      <c r="A420" s="10">
        <v>1733</v>
      </c>
      <c r="B420" s="13" t="s">
        <v>602</v>
      </c>
      <c r="C420" s="17"/>
      <c r="D420" s="16"/>
    </row>
    <row r="421" spans="1:4" x14ac:dyDescent="0.25">
      <c r="A421" s="10">
        <v>1737</v>
      </c>
      <c r="B421" s="13" t="s">
        <v>604</v>
      </c>
      <c r="C421" s="17"/>
      <c r="D421" s="16"/>
    </row>
    <row r="422" spans="1:4" x14ac:dyDescent="0.25">
      <c r="A422" s="10">
        <v>1740</v>
      </c>
      <c r="B422" s="13" t="s">
        <v>606</v>
      </c>
      <c r="C422" s="17"/>
      <c r="D422" s="16"/>
    </row>
    <row r="423" spans="1:4" x14ac:dyDescent="0.25">
      <c r="A423" s="10">
        <v>1751</v>
      </c>
      <c r="B423" s="13" t="s">
        <v>608</v>
      </c>
      <c r="C423" s="17"/>
      <c r="D423" s="16"/>
    </row>
    <row r="424" spans="1:4" x14ac:dyDescent="0.25">
      <c r="A424" s="10">
        <v>1752</v>
      </c>
      <c r="B424" s="13" t="s">
        <v>610</v>
      </c>
      <c r="C424" s="17"/>
      <c r="D424" s="16"/>
    </row>
    <row r="425" spans="1:4" x14ac:dyDescent="0.25">
      <c r="A425" s="10">
        <v>1753</v>
      </c>
      <c r="B425" s="13" t="s">
        <v>612</v>
      </c>
      <c r="C425" s="17"/>
      <c r="D425" s="16"/>
    </row>
    <row r="426" spans="1:4" x14ac:dyDescent="0.25">
      <c r="A426" s="10">
        <v>1755</v>
      </c>
      <c r="B426" s="13" t="s">
        <v>614</v>
      </c>
      <c r="C426" s="17"/>
      <c r="D426" s="16"/>
    </row>
    <row r="427" spans="1:4" x14ac:dyDescent="0.25">
      <c r="A427" s="10">
        <v>1756</v>
      </c>
      <c r="B427" s="13" t="s">
        <v>616</v>
      </c>
      <c r="C427" s="17"/>
      <c r="D427" s="16"/>
    </row>
    <row r="428" spans="1:4" x14ac:dyDescent="0.25">
      <c r="A428" s="10">
        <v>1758</v>
      </c>
      <c r="B428" s="13" t="s">
        <v>618</v>
      </c>
      <c r="C428" s="17"/>
      <c r="D428" s="16"/>
    </row>
    <row r="429" spans="1:4" x14ac:dyDescent="0.25">
      <c r="A429" s="17">
        <v>1759</v>
      </c>
      <c r="B429" s="16" t="s">
        <v>619</v>
      </c>
      <c r="C429" s="17"/>
      <c r="D429" s="16"/>
    </row>
    <row r="430" spans="1:4" x14ac:dyDescent="0.25">
      <c r="A430" s="17">
        <v>1760</v>
      </c>
      <c r="B430" s="16" t="s">
        <v>620</v>
      </c>
      <c r="C430" s="17"/>
      <c r="D430" s="16"/>
    </row>
    <row r="431" spans="1:4" x14ac:dyDescent="0.25">
      <c r="A431" s="10">
        <v>1762</v>
      </c>
      <c r="B431" s="13" t="s">
        <v>622</v>
      </c>
      <c r="C431" s="17"/>
      <c r="D431" s="16"/>
    </row>
    <row r="432" spans="1:4" x14ac:dyDescent="0.25">
      <c r="A432" s="10">
        <v>1765</v>
      </c>
      <c r="B432" s="13" t="s">
        <v>624</v>
      </c>
      <c r="C432" s="17"/>
      <c r="D432" s="16"/>
    </row>
    <row r="433" spans="1:4" x14ac:dyDescent="0.25">
      <c r="A433" s="10">
        <v>1766</v>
      </c>
      <c r="B433" s="13" t="s">
        <v>626</v>
      </c>
      <c r="C433" s="17"/>
      <c r="D433" s="16"/>
    </row>
    <row r="434" spans="1:4" x14ac:dyDescent="0.25">
      <c r="A434" s="17">
        <v>1772</v>
      </c>
      <c r="B434" s="16" t="s">
        <v>627</v>
      </c>
      <c r="C434" s="17"/>
      <c r="D434" s="16"/>
    </row>
    <row r="435" spans="1:4" x14ac:dyDescent="0.25">
      <c r="A435" s="10">
        <v>1773</v>
      </c>
      <c r="B435" s="13" t="s">
        <v>629</v>
      </c>
      <c r="C435" s="17"/>
      <c r="D435" s="16"/>
    </row>
    <row r="436" spans="1:4" x14ac:dyDescent="0.25">
      <c r="A436" s="10">
        <v>1775</v>
      </c>
      <c r="B436" s="13" t="s">
        <v>631</v>
      </c>
      <c r="C436" s="17"/>
      <c r="D436" s="16"/>
    </row>
    <row r="437" spans="1:4" x14ac:dyDescent="0.25">
      <c r="A437" s="17">
        <v>1779</v>
      </c>
      <c r="B437" s="16" t="s">
        <v>632</v>
      </c>
      <c r="C437" s="17"/>
      <c r="D437" s="16"/>
    </row>
    <row r="438" spans="1:4" x14ac:dyDescent="0.25">
      <c r="A438" s="10">
        <v>1780</v>
      </c>
      <c r="B438" s="13" t="s">
        <v>634</v>
      </c>
      <c r="C438" s="17"/>
      <c r="D438" s="16"/>
    </row>
    <row r="439" spans="1:4" x14ac:dyDescent="0.25">
      <c r="A439" s="17">
        <v>1783</v>
      </c>
      <c r="B439" s="16" t="s">
        <v>1010</v>
      </c>
      <c r="C439" s="17"/>
      <c r="D439" s="16"/>
    </row>
    <row r="440" spans="1:4" x14ac:dyDescent="0.25">
      <c r="A440" s="17">
        <v>1785</v>
      </c>
      <c r="B440" s="16" t="s">
        <v>635</v>
      </c>
      <c r="C440" s="17"/>
      <c r="D440" s="16"/>
    </row>
    <row r="441" spans="1:4" x14ac:dyDescent="0.25">
      <c r="A441" s="10">
        <v>1786</v>
      </c>
      <c r="B441" s="13" t="s">
        <v>637</v>
      </c>
      <c r="C441" s="17"/>
      <c r="D441" s="16"/>
    </row>
    <row r="442" spans="1:4" x14ac:dyDescent="0.25">
      <c r="A442" s="10">
        <v>1789</v>
      </c>
      <c r="B442" s="13" t="s">
        <v>903</v>
      </c>
      <c r="C442" s="17"/>
      <c r="D442" s="16"/>
    </row>
    <row r="443" spans="1:4" x14ac:dyDescent="0.25">
      <c r="A443" s="17">
        <v>1790</v>
      </c>
      <c r="B443" s="16" t="s">
        <v>638</v>
      </c>
      <c r="C443" s="17"/>
      <c r="D443" s="16"/>
    </row>
    <row r="444" spans="1:4" x14ac:dyDescent="0.25">
      <c r="A444" s="7">
        <v>1792</v>
      </c>
      <c r="B444" s="5" t="s">
        <v>639</v>
      </c>
      <c r="C444" s="17"/>
      <c r="D444" s="16"/>
    </row>
    <row r="445" spans="1:4" x14ac:dyDescent="0.25">
      <c r="A445" s="17">
        <v>1794</v>
      </c>
      <c r="B445" s="16" t="s">
        <v>1011</v>
      </c>
      <c r="C445" s="17"/>
      <c r="D445" s="16"/>
    </row>
    <row r="446" spans="1:4" x14ac:dyDescent="0.25">
      <c r="A446" s="10">
        <v>1799</v>
      </c>
      <c r="B446" s="13" t="s">
        <v>904</v>
      </c>
      <c r="C446" s="17"/>
      <c r="D446" s="16"/>
    </row>
    <row r="447" spans="1:4" x14ac:dyDescent="0.25">
      <c r="A447" s="10">
        <v>1800</v>
      </c>
      <c r="B447" s="13" t="s">
        <v>641</v>
      </c>
      <c r="C447" s="17"/>
      <c r="D447" s="16"/>
    </row>
    <row r="448" spans="1:4" x14ac:dyDescent="0.25">
      <c r="A448" s="10">
        <v>1801</v>
      </c>
      <c r="B448" s="13" t="s">
        <v>643</v>
      </c>
      <c r="C448" s="17"/>
      <c r="D448" s="16"/>
    </row>
    <row r="449" spans="1:4" x14ac:dyDescent="0.25">
      <c r="A449" s="10">
        <v>1802</v>
      </c>
      <c r="B449" s="13" t="s">
        <v>645</v>
      </c>
      <c r="C449" s="17"/>
      <c r="D449" s="16"/>
    </row>
    <row r="450" spans="1:4" x14ac:dyDescent="0.25">
      <c r="A450" s="10">
        <v>1803</v>
      </c>
      <c r="B450" s="13" t="s">
        <v>647</v>
      </c>
      <c r="C450" s="17"/>
      <c r="D450" s="16"/>
    </row>
    <row r="451" spans="1:4" x14ac:dyDescent="0.25">
      <c r="A451" s="17">
        <v>1806</v>
      </c>
      <c r="B451" s="16" t="s">
        <v>648</v>
      </c>
      <c r="C451" s="17"/>
      <c r="D451" s="16"/>
    </row>
    <row r="452" spans="1:4" x14ac:dyDescent="0.25">
      <c r="A452" s="10">
        <v>1808</v>
      </c>
      <c r="B452" s="13" t="s">
        <v>650</v>
      </c>
      <c r="C452" s="17"/>
      <c r="D452" s="16"/>
    </row>
    <row r="453" spans="1:4" x14ac:dyDescent="0.25">
      <c r="A453" s="10">
        <v>1812</v>
      </c>
      <c r="B453" s="13" t="s">
        <v>652</v>
      </c>
      <c r="C453" s="17"/>
      <c r="D453" s="16"/>
    </row>
    <row r="454" spans="1:4" x14ac:dyDescent="0.25">
      <c r="A454" s="10">
        <v>1817</v>
      </c>
      <c r="B454" s="13" t="s">
        <v>654</v>
      </c>
      <c r="C454" s="17"/>
      <c r="D454" s="16"/>
    </row>
    <row r="455" spans="1:4" x14ac:dyDescent="0.25">
      <c r="A455" s="10">
        <v>1819</v>
      </c>
      <c r="B455" s="13" t="s">
        <v>656</v>
      </c>
      <c r="C455" s="17"/>
      <c r="D455" s="16"/>
    </row>
    <row r="456" spans="1:4" x14ac:dyDescent="0.25">
      <c r="A456" s="10">
        <v>1820</v>
      </c>
      <c r="B456" s="13" t="s">
        <v>658</v>
      </c>
      <c r="C456" s="17"/>
      <c r="D456" s="16"/>
    </row>
    <row r="457" spans="1:4" x14ac:dyDescent="0.25">
      <c r="A457" s="17">
        <v>2195</v>
      </c>
      <c r="B457" s="16" t="s">
        <v>659</v>
      </c>
      <c r="C457" s="17"/>
      <c r="D457" s="16"/>
    </row>
    <row r="458" spans="1:4" x14ac:dyDescent="0.25">
      <c r="A458" s="10">
        <v>2197</v>
      </c>
      <c r="B458" s="13" t="s">
        <v>661</v>
      </c>
      <c r="C458" s="17"/>
      <c r="D458" s="16"/>
    </row>
    <row r="459" spans="1:4" x14ac:dyDescent="0.25">
      <c r="A459" s="17">
        <v>2236</v>
      </c>
      <c r="B459" s="16" t="s">
        <v>662</v>
      </c>
      <c r="C459" s="17"/>
      <c r="D459" s="16"/>
    </row>
    <row r="460" spans="1:4" x14ac:dyDescent="0.25">
      <c r="A460" s="10">
        <v>2240</v>
      </c>
      <c r="B460" s="13" t="s">
        <v>664</v>
      </c>
      <c r="C460" s="17"/>
      <c r="D460" s="16"/>
    </row>
    <row r="461" spans="1:4" x14ac:dyDescent="0.25">
      <c r="A461" s="10">
        <v>2242</v>
      </c>
      <c r="B461" s="13" t="s">
        <v>666</v>
      </c>
      <c r="C461" s="17"/>
      <c r="D461" s="16"/>
    </row>
    <row r="462" spans="1:4" x14ac:dyDescent="0.25">
      <c r="A462" s="10">
        <v>2243</v>
      </c>
      <c r="B462" s="13" t="s">
        <v>668</v>
      </c>
      <c r="C462" s="17"/>
      <c r="D462" s="16"/>
    </row>
    <row r="463" spans="1:4" x14ac:dyDescent="0.25">
      <c r="A463" s="17">
        <v>2250</v>
      </c>
      <c r="B463" s="16" t="s">
        <v>1012</v>
      </c>
      <c r="C463" s="17"/>
      <c r="D463" s="16"/>
    </row>
    <row r="464" spans="1:4" x14ac:dyDescent="0.25">
      <c r="A464" s="10">
        <v>2256</v>
      </c>
      <c r="B464" s="13" t="s">
        <v>670</v>
      </c>
      <c r="C464" s="17"/>
      <c r="D464" s="16"/>
    </row>
    <row r="465" spans="1:4" x14ac:dyDescent="0.25">
      <c r="A465" s="10">
        <v>2287</v>
      </c>
      <c r="B465" s="13" t="s">
        <v>905</v>
      </c>
      <c r="C465" s="17"/>
      <c r="D465" s="16"/>
    </row>
    <row r="466" spans="1:4" x14ac:dyDescent="0.25">
      <c r="A466" s="10">
        <v>2297</v>
      </c>
      <c r="B466" s="13" t="s">
        <v>906</v>
      </c>
      <c r="C466" s="17"/>
      <c r="D466" s="16"/>
    </row>
    <row r="467" spans="1:4" x14ac:dyDescent="0.25">
      <c r="A467" s="10">
        <v>2298</v>
      </c>
      <c r="B467" s="13" t="s">
        <v>672</v>
      </c>
      <c r="C467" s="17"/>
      <c r="D467" s="16"/>
    </row>
    <row r="468" spans="1:4" x14ac:dyDescent="0.25">
      <c r="A468" s="10">
        <v>2302</v>
      </c>
      <c r="B468" s="13" t="s">
        <v>674</v>
      </c>
      <c r="C468" s="17"/>
      <c r="D468" s="16"/>
    </row>
    <row r="469" spans="1:4" x14ac:dyDescent="0.25">
      <c r="A469" s="17">
        <v>2307</v>
      </c>
      <c r="B469" s="16" t="s">
        <v>675</v>
      </c>
      <c r="C469" s="17"/>
      <c r="D469" s="16"/>
    </row>
    <row r="470" spans="1:4" x14ac:dyDescent="0.25">
      <c r="A470" s="10">
        <v>2308</v>
      </c>
      <c r="B470" s="13" t="s">
        <v>677</v>
      </c>
      <c r="C470" s="17"/>
      <c r="D470" s="16"/>
    </row>
    <row r="471" spans="1:4" x14ac:dyDescent="0.25">
      <c r="A471" s="7">
        <v>2317</v>
      </c>
      <c r="B471" s="5" t="s">
        <v>678</v>
      </c>
      <c r="C471" s="17"/>
      <c r="D471" s="16"/>
    </row>
    <row r="472" spans="1:4" x14ac:dyDescent="0.25">
      <c r="A472" s="10">
        <v>2350</v>
      </c>
      <c r="B472" s="13" t="s">
        <v>680</v>
      </c>
      <c r="C472" s="17"/>
      <c r="D472" s="16"/>
    </row>
    <row r="473" spans="1:4" x14ac:dyDescent="0.25">
      <c r="A473" s="10">
        <v>2352</v>
      </c>
      <c r="B473" s="13" t="s">
        <v>682</v>
      </c>
      <c r="C473" s="17"/>
      <c r="D473" s="16"/>
    </row>
    <row r="474" spans="1:4" x14ac:dyDescent="0.25">
      <c r="A474" s="17">
        <v>2358</v>
      </c>
      <c r="B474" s="16" t="s">
        <v>683</v>
      </c>
      <c r="C474" s="17"/>
      <c r="D474" s="16"/>
    </row>
    <row r="475" spans="1:4" x14ac:dyDescent="0.25">
      <c r="A475" s="10">
        <v>2382</v>
      </c>
      <c r="B475" s="13" t="s">
        <v>685</v>
      </c>
      <c r="C475" s="17"/>
      <c r="D475" s="16"/>
    </row>
    <row r="476" spans="1:4" x14ac:dyDescent="0.25">
      <c r="A476" s="10">
        <v>2390</v>
      </c>
      <c r="B476" s="13" t="s">
        <v>687</v>
      </c>
      <c r="C476" s="17"/>
      <c r="D476" s="16"/>
    </row>
    <row r="477" spans="1:4" x14ac:dyDescent="0.25">
      <c r="A477" s="17">
        <v>2393</v>
      </c>
      <c r="B477" s="16" t="s">
        <v>1013</v>
      </c>
      <c r="C477" s="17"/>
      <c r="D477" s="16"/>
    </row>
    <row r="478" spans="1:4" x14ac:dyDescent="0.25">
      <c r="A478" s="10">
        <v>2409</v>
      </c>
      <c r="B478" s="13" t="s">
        <v>907</v>
      </c>
      <c r="C478" s="17"/>
      <c r="D478" s="16"/>
    </row>
    <row r="479" spans="1:4" x14ac:dyDescent="0.25">
      <c r="A479" s="10">
        <v>2413</v>
      </c>
      <c r="B479" s="13" t="s">
        <v>689</v>
      </c>
      <c r="C479" s="17"/>
      <c r="D479" s="16"/>
    </row>
    <row r="480" spans="1:4" x14ac:dyDescent="0.25">
      <c r="A480" s="10">
        <v>2422</v>
      </c>
      <c r="B480" s="13" t="s">
        <v>908</v>
      </c>
      <c r="C480" s="17"/>
      <c r="D480" s="16"/>
    </row>
    <row r="481" spans="1:4" x14ac:dyDescent="0.25">
      <c r="A481" s="10">
        <v>2426</v>
      </c>
      <c r="B481" s="13" t="s">
        <v>691</v>
      </c>
      <c r="C481" s="17"/>
      <c r="D481" s="16"/>
    </row>
    <row r="482" spans="1:4" x14ac:dyDescent="0.25">
      <c r="A482" s="10">
        <v>2440</v>
      </c>
      <c r="B482" s="13" t="s">
        <v>693</v>
      </c>
      <c r="C482" s="17"/>
      <c r="D482" s="16"/>
    </row>
    <row r="483" spans="1:4" x14ac:dyDescent="0.25">
      <c r="A483" s="10">
        <v>2441</v>
      </c>
      <c r="B483" s="13" t="s">
        <v>695</v>
      </c>
      <c r="C483" s="17"/>
      <c r="D483" s="16"/>
    </row>
    <row r="484" spans="1:4" x14ac:dyDescent="0.25">
      <c r="A484" s="10">
        <v>2442</v>
      </c>
      <c r="B484" s="13" t="s">
        <v>697</v>
      </c>
      <c r="C484" s="17"/>
      <c r="D484" s="16"/>
    </row>
    <row r="485" spans="1:4" x14ac:dyDescent="0.25">
      <c r="A485" s="10">
        <v>2446</v>
      </c>
      <c r="B485" s="13" t="s">
        <v>699</v>
      </c>
      <c r="C485" s="17"/>
      <c r="D485" s="16"/>
    </row>
    <row r="486" spans="1:4" x14ac:dyDescent="0.25">
      <c r="A486" s="10">
        <v>2461</v>
      </c>
      <c r="B486" s="13" t="s">
        <v>701</v>
      </c>
      <c r="C486" s="17"/>
      <c r="D486" s="16"/>
    </row>
    <row r="487" spans="1:4" x14ac:dyDescent="0.25">
      <c r="A487" s="17">
        <v>2470</v>
      </c>
      <c r="B487" s="16" t="s">
        <v>702</v>
      </c>
      <c r="C487" s="17"/>
      <c r="D487" s="16"/>
    </row>
    <row r="488" spans="1:4" x14ac:dyDescent="0.25">
      <c r="A488" s="17">
        <v>2471</v>
      </c>
      <c r="B488" s="16" t="s">
        <v>703</v>
      </c>
      <c r="C488" s="17"/>
      <c r="D488" s="16"/>
    </row>
    <row r="489" spans="1:4" x14ac:dyDescent="0.25">
      <c r="A489" s="10">
        <v>2473</v>
      </c>
      <c r="B489" s="13" t="s">
        <v>705</v>
      </c>
      <c r="C489" s="17"/>
      <c r="D489" s="16"/>
    </row>
    <row r="490" spans="1:4" x14ac:dyDescent="0.25">
      <c r="A490" s="17">
        <v>2485</v>
      </c>
      <c r="B490" s="16" t="s">
        <v>706</v>
      </c>
      <c r="C490" s="17"/>
      <c r="D490" s="16"/>
    </row>
    <row r="491" spans="1:4" x14ac:dyDescent="0.25">
      <c r="A491" s="10">
        <v>2492</v>
      </c>
      <c r="B491" s="13" t="s">
        <v>708</v>
      </c>
      <c r="C491" s="17"/>
      <c r="D491" s="16"/>
    </row>
    <row r="492" spans="1:4" x14ac:dyDescent="0.25">
      <c r="A492" s="17">
        <v>2540</v>
      </c>
      <c r="B492" s="16" t="s">
        <v>1014</v>
      </c>
      <c r="C492" s="17"/>
      <c r="D492" s="16"/>
    </row>
    <row r="493" spans="1:4" x14ac:dyDescent="0.25">
      <c r="A493" s="10">
        <v>2586</v>
      </c>
      <c r="B493" s="13" t="s">
        <v>710</v>
      </c>
      <c r="C493" s="7"/>
      <c r="D493" s="7"/>
    </row>
    <row r="494" spans="1:4" x14ac:dyDescent="0.25">
      <c r="A494" s="10">
        <v>2611</v>
      </c>
      <c r="B494" s="13" t="s">
        <v>712</v>
      </c>
    </row>
    <row r="495" spans="1:4" x14ac:dyDescent="0.25">
      <c r="A495" s="10">
        <v>2613</v>
      </c>
      <c r="B495" s="13" t="s">
        <v>714</v>
      </c>
    </row>
    <row r="496" spans="1:4" x14ac:dyDescent="0.25">
      <c r="A496" s="10">
        <v>2618</v>
      </c>
      <c r="B496" s="13" t="s">
        <v>716</v>
      </c>
    </row>
    <row r="497" spans="1:2" x14ac:dyDescent="0.25">
      <c r="A497" s="17">
        <v>2622</v>
      </c>
      <c r="B497" s="16" t="s">
        <v>1015</v>
      </c>
    </row>
    <row r="498" spans="1:2" x14ac:dyDescent="0.25">
      <c r="A498" s="10">
        <v>2633</v>
      </c>
      <c r="B498" s="13" t="s">
        <v>909</v>
      </c>
    </row>
    <row r="499" spans="1:2" x14ac:dyDescent="0.25">
      <c r="A499" s="10">
        <v>2636</v>
      </c>
      <c r="B499" s="13" t="s">
        <v>718</v>
      </c>
    </row>
    <row r="500" spans="1:2" x14ac:dyDescent="0.25">
      <c r="A500" s="10">
        <v>2663</v>
      </c>
      <c r="B500" s="13" t="s">
        <v>720</v>
      </c>
    </row>
    <row r="501" spans="1:2" x14ac:dyDescent="0.25">
      <c r="A501" s="10">
        <v>2673</v>
      </c>
      <c r="B501" s="13" t="s">
        <v>722</v>
      </c>
    </row>
    <row r="502" spans="1:2" x14ac:dyDescent="0.25">
      <c r="A502" s="17">
        <v>2678</v>
      </c>
      <c r="B502" s="16" t="s">
        <v>1016</v>
      </c>
    </row>
    <row r="503" spans="1:2" x14ac:dyDescent="0.25">
      <c r="A503" s="10">
        <v>2681</v>
      </c>
      <c r="B503" s="13" t="s">
        <v>724</v>
      </c>
    </row>
    <row r="504" spans="1:2" x14ac:dyDescent="0.25">
      <c r="A504" s="10">
        <v>2683</v>
      </c>
      <c r="B504" s="13" t="s">
        <v>726</v>
      </c>
    </row>
    <row r="505" spans="1:2" x14ac:dyDescent="0.25">
      <c r="A505" s="7">
        <v>2699</v>
      </c>
      <c r="B505" s="5" t="s">
        <v>727</v>
      </c>
    </row>
    <row r="506" spans="1:2" x14ac:dyDescent="0.25">
      <c r="A506" s="10">
        <v>2716</v>
      </c>
      <c r="B506" s="13" t="s">
        <v>729</v>
      </c>
    </row>
    <row r="507" spans="1:2" x14ac:dyDescent="0.25">
      <c r="A507" s="10">
        <v>2722</v>
      </c>
      <c r="B507" s="13" t="s">
        <v>731</v>
      </c>
    </row>
    <row r="508" spans="1:2" x14ac:dyDescent="0.25">
      <c r="A508" s="17">
        <v>2725</v>
      </c>
      <c r="B508" s="16" t="s">
        <v>732</v>
      </c>
    </row>
    <row r="509" spans="1:2" x14ac:dyDescent="0.25">
      <c r="A509" s="10">
        <v>2730</v>
      </c>
      <c r="B509" s="13" t="s">
        <v>734</v>
      </c>
    </row>
    <row r="510" spans="1:2" x14ac:dyDescent="0.25">
      <c r="A510" s="10">
        <v>2738</v>
      </c>
      <c r="B510" s="13" t="s">
        <v>736</v>
      </c>
    </row>
    <row r="511" spans="1:2" x14ac:dyDescent="0.25">
      <c r="A511" s="10">
        <v>2742</v>
      </c>
      <c r="B511" s="13" t="s">
        <v>738</v>
      </c>
    </row>
    <row r="512" spans="1:2" x14ac:dyDescent="0.25">
      <c r="A512" s="10">
        <v>2743</v>
      </c>
      <c r="B512" s="13" t="s">
        <v>740</v>
      </c>
    </row>
    <row r="513" spans="1:2" x14ac:dyDescent="0.25">
      <c r="A513" s="10">
        <v>2747</v>
      </c>
      <c r="B513" s="13" t="s">
        <v>742</v>
      </c>
    </row>
    <row r="514" spans="1:2" x14ac:dyDescent="0.25">
      <c r="A514" s="17">
        <v>2765</v>
      </c>
      <c r="B514" s="16" t="s">
        <v>743</v>
      </c>
    </row>
    <row r="515" spans="1:2" x14ac:dyDescent="0.25">
      <c r="A515" s="17">
        <v>2770</v>
      </c>
      <c r="B515" s="16" t="s">
        <v>744</v>
      </c>
    </row>
    <row r="516" spans="1:2" x14ac:dyDescent="0.25">
      <c r="A516" s="17">
        <v>2771</v>
      </c>
      <c r="B516" s="16" t="s">
        <v>745</v>
      </c>
    </row>
    <row r="517" spans="1:2" x14ac:dyDescent="0.25">
      <c r="A517" s="17">
        <v>2773</v>
      </c>
      <c r="B517" s="16" t="s">
        <v>1017</v>
      </c>
    </row>
    <row r="518" spans="1:2" x14ac:dyDescent="0.25">
      <c r="A518" s="10">
        <v>2775</v>
      </c>
      <c r="B518" s="13" t="s">
        <v>747</v>
      </c>
    </row>
    <row r="519" spans="1:2" x14ac:dyDescent="0.25">
      <c r="A519" s="10">
        <v>2783</v>
      </c>
      <c r="B519" s="13" t="s">
        <v>749</v>
      </c>
    </row>
    <row r="520" spans="1:2" x14ac:dyDescent="0.25">
      <c r="A520" s="10">
        <v>2787</v>
      </c>
      <c r="B520" s="13" t="s">
        <v>751</v>
      </c>
    </row>
    <row r="521" spans="1:2" x14ac:dyDescent="0.25">
      <c r="A521" s="10">
        <v>2797</v>
      </c>
      <c r="B521" s="13" t="s">
        <v>753</v>
      </c>
    </row>
    <row r="522" spans="1:2" x14ac:dyDescent="0.25">
      <c r="A522" s="10">
        <v>2813</v>
      </c>
      <c r="B522" s="13" t="s">
        <v>755</v>
      </c>
    </row>
    <row r="523" spans="1:2" x14ac:dyDescent="0.25">
      <c r="A523" s="10">
        <v>2819</v>
      </c>
      <c r="B523" s="13" t="s">
        <v>910</v>
      </c>
    </row>
    <row r="524" spans="1:2" x14ac:dyDescent="0.25">
      <c r="A524" s="17">
        <v>2826</v>
      </c>
      <c r="B524" s="16" t="s">
        <v>756</v>
      </c>
    </row>
    <row r="525" spans="1:2" x14ac:dyDescent="0.25">
      <c r="A525" s="17">
        <v>2827</v>
      </c>
      <c r="B525" s="16" t="s">
        <v>757</v>
      </c>
    </row>
    <row r="526" spans="1:2" x14ac:dyDescent="0.25">
      <c r="A526" s="17">
        <v>2843</v>
      </c>
      <c r="B526" s="16" t="s">
        <v>758</v>
      </c>
    </row>
    <row r="527" spans="1:2" x14ac:dyDescent="0.25">
      <c r="A527" s="17">
        <v>2846</v>
      </c>
      <c r="B527" s="16" t="s">
        <v>759</v>
      </c>
    </row>
    <row r="528" spans="1:2" x14ac:dyDescent="0.25">
      <c r="A528" s="10">
        <v>2854</v>
      </c>
      <c r="B528" s="13" t="s">
        <v>761</v>
      </c>
    </row>
    <row r="529" spans="1:2" x14ac:dyDescent="0.25">
      <c r="A529" s="17">
        <v>2861</v>
      </c>
      <c r="B529" s="16" t="s">
        <v>1018</v>
      </c>
    </row>
    <row r="530" spans="1:2" x14ac:dyDescent="0.25">
      <c r="A530" s="10">
        <v>2874</v>
      </c>
      <c r="B530" s="13" t="s">
        <v>763</v>
      </c>
    </row>
    <row r="531" spans="1:2" x14ac:dyDescent="0.25">
      <c r="A531" s="17">
        <v>2875</v>
      </c>
      <c r="B531" s="16" t="s">
        <v>764</v>
      </c>
    </row>
    <row r="532" spans="1:2" x14ac:dyDescent="0.25">
      <c r="A532" s="17">
        <v>2877</v>
      </c>
      <c r="B532" s="16" t="s">
        <v>765</v>
      </c>
    </row>
    <row r="533" spans="1:2" x14ac:dyDescent="0.25">
      <c r="A533" s="10">
        <v>2882</v>
      </c>
      <c r="B533" s="13" t="s">
        <v>767</v>
      </c>
    </row>
    <row r="534" spans="1:2" x14ac:dyDescent="0.25">
      <c r="A534" s="10">
        <v>2888</v>
      </c>
      <c r="B534" s="13" t="s">
        <v>769</v>
      </c>
    </row>
    <row r="535" spans="1:2" x14ac:dyDescent="0.25">
      <c r="A535" s="17">
        <v>2890</v>
      </c>
      <c r="B535" s="16" t="s">
        <v>770</v>
      </c>
    </row>
    <row r="536" spans="1:2" x14ac:dyDescent="0.25">
      <c r="A536" s="10">
        <v>2891</v>
      </c>
      <c r="B536" s="13" t="s">
        <v>772</v>
      </c>
    </row>
    <row r="537" spans="1:2" x14ac:dyDescent="0.25">
      <c r="A537" s="10">
        <v>2892</v>
      </c>
      <c r="B537" s="13" t="s">
        <v>911</v>
      </c>
    </row>
    <row r="538" spans="1:2" x14ac:dyDescent="0.25">
      <c r="A538" s="10">
        <v>2900</v>
      </c>
      <c r="B538" s="13" t="s">
        <v>774</v>
      </c>
    </row>
    <row r="539" spans="1:2" x14ac:dyDescent="0.25">
      <c r="A539" s="10">
        <v>2909</v>
      </c>
      <c r="B539" s="13" t="s">
        <v>912</v>
      </c>
    </row>
    <row r="540" spans="1:2" x14ac:dyDescent="0.25">
      <c r="A540" s="10">
        <v>2916</v>
      </c>
      <c r="B540" s="13" t="s">
        <v>776</v>
      </c>
    </row>
    <row r="541" spans="1:2" x14ac:dyDescent="0.25">
      <c r="A541" s="10">
        <v>2919</v>
      </c>
      <c r="B541" s="13" t="s">
        <v>778</v>
      </c>
    </row>
    <row r="542" spans="1:2" x14ac:dyDescent="0.25">
      <c r="A542" s="17">
        <v>2927</v>
      </c>
      <c r="B542" s="16" t="s">
        <v>1019</v>
      </c>
    </row>
    <row r="543" spans="1:2" x14ac:dyDescent="0.25">
      <c r="A543" s="10">
        <v>2930</v>
      </c>
      <c r="B543" s="13" t="s">
        <v>780</v>
      </c>
    </row>
    <row r="544" spans="1:2" x14ac:dyDescent="0.25">
      <c r="A544" s="10">
        <v>2936</v>
      </c>
      <c r="B544" s="13" t="s">
        <v>782</v>
      </c>
    </row>
    <row r="545" spans="1:2" x14ac:dyDescent="0.25">
      <c r="A545" s="10">
        <v>2937</v>
      </c>
      <c r="B545" s="13" t="s">
        <v>784</v>
      </c>
    </row>
    <row r="546" spans="1:2" x14ac:dyDescent="0.25">
      <c r="A546" s="10">
        <v>2938</v>
      </c>
      <c r="B546" s="13" t="s">
        <v>786</v>
      </c>
    </row>
    <row r="547" spans="1:2" x14ac:dyDescent="0.25">
      <c r="A547" s="10">
        <v>2939</v>
      </c>
      <c r="B547" s="13" t="s">
        <v>788</v>
      </c>
    </row>
    <row r="548" spans="1:2" x14ac:dyDescent="0.25">
      <c r="A548" s="10">
        <v>2944</v>
      </c>
      <c r="B548" s="13" t="s">
        <v>790</v>
      </c>
    </row>
    <row r="549" spans="1:2" x14ac:dyDescent="0.25">
      <c r="A549" s="10">
        <v>2948</v>
      </c>
      <c r="B549" s="13" t="s">
        <v>792</v>
      </c>
    </row>
    <row r="550" spans="1:2" x14ac:dyDescent="0.25">
      <c r="A550" s="10">
        <v>2949</v>
      </c>
      <c r="B550" s="13" t="s">
        <v>794</v>
      </c>
    </row>
    <row r="551" spans="1:2" x14ac:dyDescent="0.25">
      <c r="A551" s="10">
        <v>2972</v>
      </c>
      <c r="B551" s="13" t="s">
        <v>796</v>
      </c>
    </row>
    <row r="552" spans="1:2" x14ac:dyDescent="0.25">
      <c r="A552" s="10">
        <v>2974</v>
      </c>
      <c r="B552" s="13" t="s">
        <v>798</v>
      </c>
    </row>
    <row r="553" spans="1:2" x14ac:dyDescent="0.25">
      <c r="A553" s="17">
        <v>2978</v>
      </c>
      <c r="B553" s="16" t="s">
        <v>799</v>
      </c>
    </row>
    <row r="554" spans="1:2" x14ac:dyDescent="0.25">
      <c r="A554" s="10">
        <v>2983</v>
      </c>
      <c r="B554" s="13" t="s">
        <v>801</v>
      </c>
    </row>
    <row r="555" spans="1:2" x14ac:dyDescent="0.25">
      <c r="A555" s="10">
        <v>2989</v>
      </c>
      <c r="B555" s="13" t="s">
        <v>803</v>
      </c>
    </row>
    <row r="556" spans="1:2" x14ac:dyDescent="0.25">
      <c r="A556" s="10">
        <v>2992</v>
      </c>
      <c r="B556" s="13" t="s">
        <v>805</v>
      </c>
    </row>
    <row r="557" spans="1:2" x14ac:dyDescent="0.25">
      <c r="A557" s="17">
        <v>2996</v>
      </c>
      <c r="B557" s="16" t="s">
        <v>1020</v>
      </c>
    </row>
    <row r="558" spans="1:2" x14ac:dyDescent="0.25">
      <c r="A558" s="17">
        <v>2997</v>
      </c>
      <c r="B558" s="16" t="s">
        <v>1021</v>
      </c>
    </row>
    <row r="559" spans="1:2" x14ac:dyDescent="0.25">
      <c r="A559" s="17">
        <v>3015</v>
      </c>
      <c r="B559" s="16" t="s">
        <v>1022</v>
      </c>
    </row>
    <row r="560" spans="1:2" x14ac:dyDescent="0.25">
      <c r="A560" s="10">
        <v>3017</v>
      </c>
      <c r="B560" s="13" t="s">
        <v>913</v>
      </c>
    </row>
    <row r="561" spans="1:2" x14ac:dyDescent="0.25">
      <c r="A561" s="10">
        <v>3041</v>
      </c>
      <c r="B561" s="13" t="s">
        <v>807</v>
      </c>
    </row>
    <row r="562" spans="1:2" x14ac:dyDescent="0.25">
      <c r="A562" s="17">
        <v>3053</v>
      </c>
      <c r="B562" s="16" t="s">
        <v>808</v>
      </c>
    </row>
    <row r="563" spans="1:2" x14ac:dyDescent="0.25">
      <c r="A563" s="10">
        <v>3062</v>
      </c>
      <c r="B563" s="13" t="s">
        <v>810</v>
      </c>
    </row>
    <row r="564" spans="1:2" x14ac:dyDescent="0.25">
      <c r="A564" s="10">
        <v>3063</v>
      </c>
      <c r="B564" s="13" t="s">
        <v>812</v>
      </c>
    </row>
    <row r="565" spans="1:2" x14ac:dyDescent="0.25">
      <c r="A565" s="10">
        <v>3072</v>
      </c>
      <c r="B565" s="13" t="s">
        <v>914</v>
      </c>
    </row>
    <row r="566" spans="1:2" x14ac:dyDescent="0.25">
      <c r="A566" s="17">
        <v>3074</v>
      </c>
      <c r="B566" s="16" t="s">
        <v>1023</v>
      </c>
    </row>
    <row r="567" spans="1:2" x14ac:dyDescent="0.25">
      <c r="A567" s="10">
        <v>3082</v>
      </c>
      <c r="B567" s="13" t="s">
        <v>814</v>
      </c>
    </row>
    <row r="568" spans="1:2" x14ac:dyDescent="0.25">
      <c r="A568" s="10">
        <v>3086</v>
      </c>
      <c r="B568" s="13" t="s">
        <v>816</v>
      </c>
    </row>
    <row r="569" spans="1:2" x14ac:dyDescent="0.25">
      <c r="A569" s="10">
        <v>3087</v>
      </c>
      <c r="B569" s="13" t="s">
        <v>818</v>
      </c>
    </row>
    <row r="570" spans="1:2" x14ac:dyDescent="0.25">
      <c r="A570" s="17">
        <v>3090</v>
      </c>
      <c r="B570" s="16" t="s">
        <v>1024</v>
      </c>
    </row>
    <row r="571" spans="1:2" x14ac:dyDescent="0.25">
      <c r="A571" s="17">
        <v>3091</v>
      </c>
      <c r="B571" s="16" t="s">
        <v>1025</v>
      </c>
    </row>
    <row r="572" spans="1:2" x14ac:dyDescent="0.25">
      <c r="A572" s="10">
        <v>3092</v>
      </c>
      <c r="B572" s="13" t="s">
        <v>820</v>
      </c>
    </row>
    <row r="573" spans="1:2" x14ac:dyDescent="0.25">
      <c r="A573" s="10">
        <v>7650</v>
      </c>
      <c r="B573" s="13" t="s">
        <v>822</v>
      </c>
    </row>
    <row r="574" spans="1:2" x14ac:dyDescent="0.25">
      <c r="A574" s="10">
        <v>7651</v>
      </c>
      <c r="B574" s="13" t="s">
        <v>824</v>
      </c>
    </row>
    <row r="575" spans="1:2" x14ac:dyDescent="0.25">
      <c r="A575" s="10">
        <v>7652</v>
      </c>
      <c r="B575" s="13" t="s">
        <v>915</v>
      </c>
    </row>
    <row r="576" spans="1:2" x14ac:dyDescent="0.25">
      <c r="A576" s="10">
        <v>7655</v>
      </c>
      <c r="B576" s="13" t="s">
        <v>826</v>
      </c>
    </row>
    <row r="577" spans="1:2" x14ac:dyDescent="0.25">
      <c r="A577" s="10">
        <v>7659</v>
      </c>
      <c r="B577" s="13" t="s">
        <v>828</v>
      </c>
    </row>
    <row r="578" spans="1:2" x14ac:dyDescent="0.25">
      <c r="A578" s="10">
        <v>7660</v>
      </c>
      <c r="B578" s="13" t="s">
        <v>916</v>
      </c>
    </row>
    <row r="579" spans="1:2" x14ac:dyDescent="0.25">
      <c r="A579" s="10">
        <v>7661</v>
      </c>
      <c r="B579" s="13" t="s">
        <v>830</v>
      </c>
    </row>
    <row r="580" spans="1:2" x14ac:dyDescent="0.25">
      <c r="A580" s="10">
        <v>7662</v>
      </c>
      <c r="B580" s="13" t="s">
        <v>832</v>
      </c>
    </row>
    <row r="581" spans="1:2" x14ac:dyDescent="0.25">
      <c r="A581" s="17">
        <v>7663</v>
      </c>
      <c r="B581" s="16" t="s">
        <v>833</v>
      </c>
    </row>
    <row r="582" spans="1:2" x14ac:dyDescent="0.25">
      <c r="A582" s="17">
        <v>7678</v>
      </c>
      <c r="B582" s="16" t="s">
        <v>835</v>
      </c>
    </row>
    <row r="583" spans="1:2" x14ac:dyDescent="0.25">
      <c r="A583" s="17">
        <v>7679</v>
      </c>
      <c r="B583" s="16" t="s">
        <v>837</v>
      </c>
    </row>
    <row r="584" spans="1:2" x14ac:dyDescent="0.25">
      <c r="A584" s="17">
        <v>7685</v>
      </c>
      <c r="B584" s="16" t="s">
        <v>839</v>
      </c>
    </row>
    <row r="585" spans="1:2" x14ac:dyDescent="0.25">
      <c r="A585" s="17">
        <v>7690</v>
      </c>
      <c r="B585" s="16" t="s">
        <v>841</v>
      </c>
    </row>
    <row r="586" spans="1:2" x14ac:dyDescent="0.25">
      <c r="A586" s="10">
        <v>7692</v>
      </c>
      <c r="B586" s="13" t="s">
        <v>843</v>
      </c>
    </row>
    <row r="587" spans="1:2" x14ac:dyDescent="0.25">
      <c r="A587" s="17">
        <v>7698</v>
      </c>
      <c r="B587" s="16" t="s">
        <v>844</v>
      </c>
    </row>
    <row r="588" spans="1:2" x14ac:dyDescent="0.25">
      <c r="A588" s="7">
        <v>7699</v>
      </c>
      <c r="B588" s="5" t="s">
        <v>846</v>
      </c>
    </row>
    <row r="589" spans="1:2" x14ac:dyDescent="0.25">
      <c r="A589" s="17">
        <v>10655</v>
      </c>
      <c r="B589" s="16" t="s">
        <v>848</v>
      </c>
    </row>
    <row r="590" spans="1:2" x14ac:dyDescent="0.25">
      <c r="A590" s="10">
        <v>11270</v>
      </c>
      <c r="B590" s="13" t="s">
        <v>917</v>
      </c>
    </row>
    <row r="591" spans="1:2" x14ac:dyDescent="0.25">
      <c r="A591" s="17">
        <v>12115</v>
      </c>
      <c r="B591" s="16" t="s">
        <v>849</v>
      </c>
    </row>
    <row r="592" spans="1:2" x14ac:dyDescent="0.25">
      <c r="A592" s="10">
        <v>12521</v>
      </c>
      <c r="B592" s="13" t="s">
        <v>918</v>
      </c>
    </row>
    <row r="593" spans="1:3" x14ac:dyDescent="0.25">
      <c r="A593" s="17">
        <v>12536</v>
      </c>
      <c r="B593" s="16" t="s">
        <v>851</v>
      </c>
    </row>
    <row r="594" spans="1:3" x14ac:dyDescent="0.25">
      <c r="A594" s="17">
        <v>12547</v>
      </c>
      <c r="B594" s="16" t="s">
        <v>853</v>
      </c>
    </row>
    <row r="595" spans="1:3" x14ac:dyDescent="0.25">
      <c r="A595" s="17">
        <v>12555</v>
      </c>
      <c r="B595" s="16" t="s">
        <v>855</v>
      </c>
    </row>
    <row r="596" spans="1:3" x14ac:dyDescent="0.25">
      <c r="A596" s="17">
        <v>12558</v>
      </c>
      <c r="B596" s="16" t="s">
        <v>857</v>
      </c>
    </row>
    <row r="597" spans="1:3" x14ac:dyDescent="0.25">
      <c r="A597" s="17">
        <v>13746</v>
      </c>
      <c r="B597" s="16" t="s">
        <v>859</v>
      </c>
    </row>
    <row r="598" spans="1:3" x14ac:dyDescent="0.25">
      <c r="A598" s="17">
        <v>1134</v>
      </c>
      <c r="B598" s="27" t="s">
        <v>1038</v>
      </c>
    </row>
    <row r="599" spans="1:3" x14ac:dyDescent="0.25">
      <c r="A599" s="17">
        <v>1135</v>
      </c>
      <c r="B599" s="27" t="str">
        <f>UPPER(C599)</f>
        <v>TURKEY MINI DOG BISCUITS</v>
      </c>
      <c r="C599" s="27" t="s">
        <v>1039</v>
      </c>
    </row>
    <row r="600" spans="1:3" x14ac:dyDescent="0.25">
      <c r="A600" s="29">
        <v>1139</v>
      </c>
      <c r="B600" s="27" t="str">
        <f t="shared" ref="B600:B650" si="0">UPPER(C600)</f>
        <v>PIGEON MIX</v>
      </c>
      <c r="C600" s="27" t="s">
        <v>1040</v>
      </c>
    </row>
    <row r="601" spans="1:3" x14ac:dyDescent="0.25">
      <c r="A601" s="29">
        <v>1140</v>
      </c>
      <c r="B601" s="27" t="str">
        <f t="shared" si="0"/>
        <v>NYGER SEED</v>
      </c>
      <c r="C601" s="28" t="s">
        <v>1041</v>
      </c>
    </row>
    <row r="602" spans="1:3" x14ac:dyDescent="0.25">
      <c r="A602" s="29">
        <v>1142</v>
      </c>
      <c r="B602" s="27" t="str">
        <f t="shared" si="0"/>
        <v>COCKATIEL SEED MIX</v>
      </c>
      <c r="C602" s="28" t="s">
        <v>1042</v>
      </c>
    </row>
    <row r="603" spans="1:3" x14ac:dyDescent="0.25">
      <c r="A603" s="29">
        <v>1148</v>
      </c>
      <c r="B603" s="27" t="str">
        <f t="shared" si="0"/>
        <v>SALMON MINI DOG BISCUITS</v>
      </c>
      <c r="C603" s="28" t="s">
        <v>1043</v>
      </c>
    </row>
    <row r="604" spans="1:3" x14ac:dyDescent="0.25">
      <c r="A604" s="29">
        <v>1149</v>
      </c>
      <c r="B604" s="27" t="str">
        <f t="shared" si="0"/>
        <v>VEGGIE &amp; FRUIT MINI DOG BISCUITS</v>
      </c>
      <c r="C604" s="28" t="s">
        <v>1044</v>
      </c>
    </row>
    <row r="605" spans="1:3" x14ac:dyDescent="0.25">
      <c r="A605" s="29">
        <v>1150</v>
      </c>
      <c r="B605" s="27" t="str">
        <f t="shared" si="0"/>
        <v>ALL NATURAL PEANUT BUTTER DOG BISCUITS</v>
      </c>
      <c r="C605" s="28" t="s">
        <v>1045</v>
      </c>
    </row>
    <row r="606" spans="1:3" x14ac:dyDescent="0.25">
      <c r="A606" s="29">
        <v>1156</v>
      </c>
      <c r="B606" s="27" t="str">
        <f t="shared" si="0"/>
        <v>PIG EAR PIECES</v>
      </c>
      <c r="C606" s="28" t="s">
        <v>1046</v>
      </c>
    </row>
    <row r="607" spans="1:3" x14ac:dyDescent="0.25">
      <c r="A607" s="29">
        <v>1157</v>
      </c>
      <c r="B607" s="27" t="str">
        <f t="shared" si="0"/>
        <v>PARROT MIX</v>
      </c>
      <c r="C607" s="28" t="s">
        <v>1047</v>
      </c>
    </row>
    <row r="608" spans="1:3" x14ac:dyDescent="0.25">
      <c r="A608" s="29">
        <v>1159</v>
      </c>
      <c r="B608" s="27" t="str">
        <f t="shared" si="0"/>
        <v>ALL NATURAL WHITE RAWHIDE CHIPS</v>
      </c>
      <c r="C608" s="28" t="s">
        <v>1048</v>
      </c>
    </row>
    <row r="609" spans="1:3" x14ac:dyDescent="0.25">
      <c r="A609" s="29">
        <v>2513</v>
      </c>
      <c r="B609" s="27" t="str">
        <f t="shared" si="0"/>
        <v>LARGE TURKEY DOG BISCUITS</v>
      </c>
      <c r="C609" s="28" t="s">
        <v>1049</v>
      </c>
    </row>
    <row r="610" spans="1:3" x14ac:dyDescent="0.25">
      <c r="A610" s="29">
        <v>2514</v>
      </c>
      <c r="B610" s="27" t="str">
        <f t="shared" si="0"/>
        <v>LARGE CHEDDAR CHEESE DOG BISCUIT</v>
      </c>
      <c r="C610" s="28" t="s">
        <v>1050</v>
      </c>
    </row>
    <row r="611" spans="1:3" x14ac:dyDescent="0.25">
      <c r="A611" s="29">
        <v>2820</v>
      </c>
      <c r="B611" s="27" t="str">
        <f t="shared" si="0"/>
        <v>GRAIN FREE SALMON DOG BISCUITS</v>
      </c>
      <c r="C611" s="28" t="s">
        <v>1051</v>
      </c>
    </row>
    <row r="612" spans="1:3" x14ac:dyDescent="0.25">
      <c r="A612" s="29">
        <v>2913</v>
      </c>
      <c r="B612" s="27" t="str">
        <f t="shared" si="0"/>
        <v>GRAIN FREE BANANA MINI DOG BISCUITS</v>
      </c>
      <c r="C612" s="28" t="s">
        <v>1052</v>
      </c>
    </row>
    <row r="613" spans="1:3" x14ac:dyDescent="0.25">
      <c r="A613" s="29">
        <v>1038</v>
      </c>
      <c r="B613" s="27" t="str">
        <f t="shared" si="0"/>
        <v>GINGER CHUNKS, IN SYRUP</v>
      </c>
      <c r="C613" s="28" t="s">
        <v>1053</v>
      </c>
    </row>
    <row r="614" spans="1:3" x14ac:dyDescent="0.25">
      <c r="A614" s="29">
        <v>1039</v>
      </c>
      <c r="B614" s="27" t="str">
        <f t="shared" si="0"/>
        <v>MARASCHINO CHERRIES - RED</v>
      </c>
      <c r="C614" s="28" t="s">
        <v>1054</v>
      </c>
    </row>
    <row r="615" spans="1:3" x14ac:dyDescent="0.25">
      <c r="A615" s="29">
        <v>1040</v>
      </c>
      <c r="B615" s="27" t="str">
        <f t="shared" si="0"/>
        <v>MARASCHINO CHERRIES, WHOLE GREEN</v>
      </c>
      <c r="C615" s="28" t="s">
        <v>1055</v>
      </c>
    </row>
    <row r="616" spans="1:3" x14ac:dyDescent="0.25">
      <c r="A616" s="29">
        <v>1703</v>
      </c>
      <c r="B616" s="27" t="str">
        <f t="shared" si="0"/>
        <v>LEXIA RAISINS</v>
      </c>
      <c r="C616" s="28" t="s">
        <v>1056</v>
      </c>
    </row>
    <row r="617" spans="1:3" x14ac:dyDescent="0.25">
      <c r="A617" s="29">
        <v>1709</v>
      </c>
      <c r="B617" s="27" t="str">
        <f t="shared" si="0"/>
        <v>ZANTE CURRANTS</v>
      </c>
      <c r="C617" s="28" t="s">
        <v>1057</v>
      </c>
    </row>
    <row r="618" spans="1:3" x14ac:dyDescent="0.25">
      <c r="A618" s="29">
        <v>1712</v>
      </c>
      <c r="B618" s="27" t="str">
        <f t="shared" si="0"/>
        <v>HONEY DATES, PITS REMOVED</v>
      </c>
      <c r="C618" s="28" t="s">
        <v>1058</v>
      </c>
    </row>
    <row r="619" spans="1:3" x14ac:dyDescent="0.25">
      <c r="A619" s="29">
        <v>1714</v>
      </c>
      <c r="B619" s="27" t="str">
        <f t="shared" si="0"/>
        <v>DICED DATES, DEXTROSE COATED</v>
      </c>
      <c r="C619" s="28" t="s">
        <v>1059</v>
      </c>
    </row>
    <row r="620" spans="1:3" x14ac:dyDescent="0.25">
      <c r="A620" s="29">
        <v>1718</v>
      </c>
      <c r="B620" s="27" t="str">
        <f t="shared" si="0"/>
        <v>BLACK MISSION FIGS</v>
      </c>
      <c r="C620" s="28" t="s">
        <v>1060</v>
      </c>
    </row>
    <row r="621" spans="1:3" x14ac:dyDescent="0.25">
      <c r="A621" s="29">
        <v>1719</v>
      </c>
      <c r="B621" s="27" t="str">
        <f t="shared" si="0"/>
        <v>DRIED MULBERRIES</v>
      </c>
      <c r="C621" s="28" t="s">
        <v>1061</v>
      </c>
    </row>
    <row r="622" spans="1:3" x14ac:dyDescent="0.25">
      <c r="A622" s="29">
        <v>1722</v>
      </c>
      <c r="B622" s="27" t="str">
        <f t="shared" si="0"/>
        <v>DRIED BLUEBERRIES</v>
      </c>
      <c r="C622" s="28" t="s">
        <v>1062</v>
      </c>
    </row>
    <row r="623" spans="1:3" x14ac:dyDescent="0.25">
      <c r="A623" s="29">
        <v>1723</v>
      </c>
      <c r="B623" s="27" t="str">
        <f t="shared" si="0"/>
        <v>DRIED TART CHERRIES</v>
      </c>
      <c r="C623" s="28" t="s">
        <v>1063</v>
      </c>
    </row>
    <row r="624" spans="1:3" x14ac:dyDescent="0.25">
      <c r="A624" s="29">
        <v>1728</v>
      </c>
      <c r="B624" s="27" t="str">
        <f t="shared" si="0"/>
        <v>DRIED MIXED FRUIT WITH PRUNES</v>
      </c>
      <c r="C624" s="28" t="s">
        <v>1064</v>
      </c>
    </row>
    <row r="625" spans="1:4" x14ac:dyDescent="0.25">
      <c r="A625" s="29">
        <v>1734</v>
      </c>
      <c r="B625" s="27" t="str">
        <f t="shared" si="0"/>
        <v>DELUXE FRUIT MIX</v>
      </c>
      <c r="C625" s="28" t="s">
        <v>1065</v>
      </c>
    </row>
    <row r="626" spans="1:4" x14ac:dyDescent="0.25">
      <c r="A626" s="29">
        <v>1739</v>
      </c>
      <c r="B626" s="27" t="str">
        <f t="shared" si="0"/>
        <v>CITRON PEEL</v>
      </c>
      <c r="C626" s="28" t="s">
        <v>1066</v>
      </c>
    </row>
    <row r="627" spans="1:4" x14ac:dyDescent="0.25">
      <c r="A627" s="29">
        <v>1744</v>
      </c>
      <c r="B627" s="27" t="str">
        <f t="shared" si="0"/>
        <v>NATURAL PINEAPPLE WEDGES, GLAZED</v>
      </c>
      <c r="C627" s="28" t="s">
        <v>1067</v>
      </c>
    </row>
    <row r="628" spans="1:4" x14ac:dyDescent="0.25">
      <c r="A628" s="29">
        <v>1781</v>
      </c>
      <c r="B628" s="27" t="str">
        <f t="shared" si="0"/>
        <v>DRIED MANGO SLICES, UNSWEETENED</v>
      </c>
      <c r="C628" s="28" t="s">
        <v>1068</v>
      </c>
    </row>
    <row r="629" spans="1:4" x14ac:dyDescent="0.25">
      <c r="A629" t="s">
        <v>1069</v>
      </c>
      <c r="B629" s="27" t="str">
        <f t="shared" si="0"/>
        <v>-</v>
      </c>
      <c r="C629" s="18" t="s">
        <v>1069</v>
      </c>
    </row>
    <row r="630" spans="1:4" x14ac:dyDescent="0.25">
      <c r="A630" s="15">
        <v>111</v>
      </c>
      <c r="B630" s="27" t="str">
        <f>UPPER(C630)</f>
        <v>CASHEW PIECES, ROASTED &amp; SALTED</v>
      </c>
      <c r="C630" s="18" t="s">
        <v>1071</v>
      </c>
    </row>
    <row r="631" spans="1:4" x14ac:dyDescent="0.25">
      <c r="A631" s="15">
        <v>122</v>
      </c>
      <c r="B631" s="27" t="str">
        <f t="shared" si="0"/>
        <v>MACADAMIA NUTS ROASTED &amp; SALTED</v>
      </c>
      <c r="C631" s="18" t="s">
        <v>1072</v>
      </c>
    </row>
    <row r="632" spans="1:4" x14ac:dyDescent="0.25">
      <c r="A632" s="15">
        <v>126</v>
      </c>
      <c r="B632" s="27" t="str">
        <f t="shared" si="0"/>
        <v>MEDITERRANEAN RED PISTACHIOS, DRY ROASTED &amp; SALTED</v>
      </c>
      <c r="C632" s="18" t="s">
        <v>1073</v>
      </c>
      <c r="D632" s="15">
        <v>126</v>
      </c>
    </row>
    <row r="633" spans="1:4" x14ac:dyDescent="0.25">
      <c r="A633" s="15">
        <v>132</v>
      </c>
      <c r="B633" s="27" t="str">
        <f t="shared" si="0"/>
        <v>BUTTERED PEANUTS BEER NUTS</v>
      </c>
      <c r="C633" s="18" t="s">
        <v>1074</v>
      </c>
      <c r="D633" s="15">
        <v>132</v>
      </c>
    </row>
    <row r="634" spans="1:4" x14ac:dyDescent="0.25">
      <c r="A634" s="15">
        <v>137</v>
      </c>
      <c r="B634" s="27" t="str">
        <f t="shared" si="0"/>
        <v>SESAME HONEY ALMONDS</v>
      </c>
      <c r="C634" s="18" t="s">
        <v>1075</v>
      </c>
      <c r="D634" s="15">
        <v>137</v>
      </c>
    </row>
    <row r="635" spans="1:4" x14ac:dyDescent="0.25">
      <c r="A635" s="15">
        <v>648</v>
      </c>
      <c r="B635" s="27" t="str">
        <f t="shared" si="0"/>
        <v>BURNT PEANUTS</v>
      </c>
      <c r="C635" s="18" t="s">
        <v>1076</v>
      </c>
      <c r="D635" s="15">
        <v>648</v>
      </c>
    </row>
    <row r="636" spans="1:4" x14ac:dyDescent="0.25">
      <c r="A636" s="15">
        <v>1705</v>
      </c>
      <c r="B636" s="27" t="str">
        <f t="shared" si="0"/>
        <v>HERSHEY'S SKOR TOFFEE BITS</v>
      </c>
      <c r="C636" s="18" t="s">
        <v>1077</v>
      </c>
      <c r="D636" s="15">
        <v>1705</v>
      </c>
    </row>
    <row r="637" spans="1:4" x14ac:dyDescent="0.25">
      <c r="A637" s="15">
        <v>1774</v>
      </c>
      <c r="B637" s="27" t="str">
        <f t="shared" si="0"/>
        <v>NATURAL WHOLE BRAZIL NUTS</v>
      </c>
      <c r="C637" s="18" t="s">
        <v>1078</v>
      </c>
      <c r="D637" s="15">
        <v>1774</v>
      </c>
    </row>
    <row r="638" spans="1:4" x14ac:dyDescent="0.25">
      <c r="A638" s="15">
        <v>1782</v>
      </c>
      <c r="B638" s="27" t="str">
        <f t="shared" si="0"/>
        <v>RAW MACADAMIA NUTS</v>
      </c>
      <c r="C638" s="18" t="s">
        <v>1079</v>
      </c>
      <c r="D638" s="15">
        <v>1782</v>
      </c>
    </row>
    <row r="639" spans="1:4" x14ac:dyDescent="0.25">
      <c r="A639" s="15">
        <v>1784</v>
      </c>
      <c r="B639" s="27" t="str">
        <f t="shared" si="0"/>
        <v>PINE NUTS, PIGNOLIAS</v>
      </c>
      <c r="C639" s="18" t="s">
        <v>1080</v>
      </c>
      <c r="D639" s="15">
        <v>1784</v>
      </c>
    </row>
    <row r="640" spans="1:4" x14ac:dyDescent="0.25">
      <c r="A640" s="15">
        <v>1788</v>
      </c>
      <c r="B640" s="27" t="str">
        <f t="shared" si="0"/>
        <v>WHOLE ALMONDS, BLANCHED</v>
      </c>
      <c r="C640" s="18" t="s">
        <v>1081</v>
      </c>
      <c r="D640" s="15">
        <v>1788</v>
      </c>
    </row>
    <row r="641" spans="1:4" x14ac:dyDescent="0.25">
      <c r="A641" s="15">
        <v>1813</v>
      </c>
      <c r="B641" s="27" t="str">
        <f t="shared" si="0"/>
        <v>M&amp;M'S MINI MILK CHOCOLATE</v>
      </c>
      <c r="C641" s="18" t="s">
        <v>1082</v>
      </c>
      <c r="D641" s="15">
        <v>1813</v>
      </c>
    </row>
    <row r="642" spans="1:4" x14ac:dyDescent="0.25">
      <c r="A642" s="15">
        <v>2468</v>
      </c>
      <c r="B642" s="27" t="str">
        <f t="shared" si="0"/>
        <v>MIXED NUTS, HONEY ROASTED</v>
      </c>
      <c r="C642" s="18" t="s">
        <v>1083</v>
      </c>
      <c r="D642" s="15">
        <v>2468</v>
      </c>
    </row>
    <row r="643" spans="1:4" x14ac:dyDescent="0.25">
      <c r="A643" s="15">
        <v>2480</v>
      </c>
      <c r="B643" s="27" t="str">
        <f t="shared" si="0"/>
        <v>MIXED NUTS WITH PEANUTS, ROASTED &amp; UNSALTED</v>
      </c>
      <c r="C643" s="18" t="s">
        <v>1084</v>
      </c>
      <c r="D643" s="15">
        <v>2480</v>
      </c>
    </row>
    <row r="644" spans="1:4" x14ac:dyDescent="0.25">
      <c r="A644" s="15">
        <v>2718</v>
      </c>
      <c r="B644" s="27" t="str">
        <f t="shared" si="0"/>
        <v>MIXED NUTS, D.ROASTED, NO PEANUTS, UNSALTED</v>
      </c>
      <c r="C644" s="18" t="s">
        <v>1088</v>
      </c>
      <c r="D644" s="15">
        <v>2718</v>
      </c>
    </row>
    <row r="645" spans="1:4" x14ac:dyDescent="0.25">
      <c r="A645" s="15">
        <v>2821</v>
      </c>
      <c r="B645" s="27" t="str">
        <f t="shared" si="0"/>
        <v>HONEY ROASTED SRIRACHA CASHEWS</v>
      </c>
      <c r="C645" s="18" t="s">
        <v>1085</v>
      </c>
      <c r="D645" s="15">
        <v>2821</v>
      </c>
    </row>
    <row r="646" spans="1:4" x14ac:dyDescent="0.25">
      <c r="A646" s="15">
        <v>2878</v>
      </c>
      <c r="B646" s="27" t="str">
        <f t="shared" si="0"/>
        <v>BRAZIL NUTS, SALTED</v>
      </c>
      <c r="C646" s="18" t="s">
        <v>1086</v>
      </c>
      <c r="D646" s="15">
        <v>2878</v>
      </c>
    </row>
    <row r="647" spans="1:4" x14ac:dyDescent="0.25">
      <c r="A647" s="15">
        <v>3083</v>
      </c>
      <c r="B647" s="27" t="str">
        <f t="shared" si="0"/>
        <v>ORGANIC MAPLE FLAKES</v>
      </c>
      <c r="C647" s="18" t="s">
        <v>1087</v>
      </c>
      <c r="D647" s="15">
        <v>3083</v>
      </c>
    </row>
    <row r="648" spans="1:4" x14ac:dyDescent="0.25">
      <c r="A648" s="32">
        <v>2450</v>
      </c>
      <c r="B648" s="33" t="str">
        <f t="shared" si="0"/>
        <v>ORGANIC WHOLE CRANBERRIES</v>
      </c>
      <c r="C648" s="18" t="s">
        <v>1090</v>
      </c>
    </row>
    <row r="649" spans="1:4" x14ac:dyDescent="0.25">
      <c r="A649" s="32">
        <v>2641</v>
      </c>
      <c r="B649" s="33" t="str">
        <f t="shared" si="0"/>
        <v>DRIED BLUEBERRIES, WILD</v>
      </c>
      <c r="C649" s="18" t="s">
        <v>1091</v>
      </c>
    </row>
    <row r="650" spans="1:4" x14ac:dyDescent="0.25">
      <c r="A650" s="32">
        <v>2764</v>
      </c>
      <c r="B650" s="33" t="str">
        <f t="shared" si="0"/>
        <v>UNSWEETENED BING CHERRIES</v>
      </c>
      <c r="C650" s="18" t="s">
        <v>1092</v>
      </c>
    </row>
    <row r="651" spans="1:4" x14ac:dyDescent="0.25">
      <c r="A651" s="18">
        <v>6</v>
      </c>
      <c r="B651" t="s">
        <v>8</v>
      </c>
    </row>
    <row r="652" spans="1:4" x14ac:dyDescent="0.25">
      <c r="A652" s="18">
        <v>14</v>
      </c>
      <c r="B652" t="s">
        <v>1105</v>
      </c>
    </row>
    <row r="653" spans="1:4" x14ac:dyDescent="0.25">
      <c r="A653" s="18">
        <v>15</v>
      </c>
      <c r="B653" t="s">
        <v>16</v>
      </c>
    </row>
    <row r="654" spans="1:4" x14ac:dyDescent="0.25">
      <c r="A654" s="18">
        <v>54</v>
      </c>
      <c r="B654" t="s">
        <v>48</v>
      </c>
    </row>
    <row r="655" spans="1:4" x14ac:dyDescent="0.25">
      <c r="A655" s="18">
        <v>68</v>
      </c>
      <c r="B655" t="s">
        <v>1106</v>
      </c>
    </row>
    <row r="656" spans="1:4" x14ac:dyDescent="0.25">
      <c r="A656" s="18">
        <v>88</v>
      </c>
      <c r="B656" t="s">
        <v>1107</v>
      </c>
    </row>
    <row r="657" spans="1:2" x14ac:dyDescent="0.25">
      <c r="A657" s="18">
        <v>2604</v>
      </c>
      <c r="B657" t="s">
        <v>1108</v>
      </c>
    </row>
    <row r="658" spans="1:2" x14ac:dyDescent="0.25">
      <c r="A658" s="18">
        <v>2633</v>
      </c>
      <c r="B658" t="s">
        <v>909</v>
      </c>
    </row>
    <row r="659" spans="1:2" x14ac:dyDescent="0.25">
      <c r="A659" s="18">
        <v>2787</v>
      </c>
      <c r="B659" t="s">
        <v>751</v>
      </c>
    </row>
    <row r="660" spans="1:2" x14ac:dyDescent="0.25">
      <c r="A660" s="18">
        <v>2876</v>
      </c>
      <c r="B660" t="s">
        <v>1109</v>
      </c>
    </row>
    <row r="661" spans="1:2" x14ac:dyDescent="0.25">
      <c r="A661" s="18">
        <v>2877</v>
      </c>
      <c r="B661" t="s">
        <v>765</v>
      </c>
    </row>
    <row r="662" spans="1:2" x14ac:dyDescent="0.25">
      <c r="A662" s="18">
        <v>2903</v>
      </c>
      <c r="B662" t="s">
        <v>1110</v>
      </c>
    </row>
    <row r="663" spans="1:2" x14ac:dyDescent="0.25">
      <c r="A663" s="18">
        <v>2904</v>
      </c>
      <c r="B663" t="s">
        <v>1111</v>
      </c>
    </row>
    <row r="664" spans="1:2" x14ac:dyDescent="0.25">
      <c r="A664" s="18">
        <v>2955</v>
      </c>
      <c r="B664" t="s">
        <v>1112</v>
      </c>
    </row>
    <row r="665" spans="1:2" x14ac:dyDescent="0.25">
      <c r="A665" s="18">
        <v>2976</v>
      </c>
      <c r="B665" t="s">
        <v>1113</v>
      </c>
    </row>
    <row r="666" spans="1:2" x14ac:dyDescent="0.25">
      <c r="A666" s="18">
        <v>257</v>
      </c>
      <c r="B666" t="s">
        <v>1114</v>
      </c>
    </row>
    <row r="667" spans="1:2" x14ac:dyDescent="0.25">
      <c r="A667" s="18">
        <v>258</v>
      </c>
      <c r="B667" t="s">
        <v>1115</v>
      </c>
    </row>
    <row r="668" spans="1:2" x14ac:dyDescent="0.25">
      <c r="A668" s="18">
        <v>300</v>
      </c>
      <c r="B668" t="s">
        <v>1116</v>
      </c>
    </row>
    <row r="669" spans="1:2" x14ac:dyDescent="0.25">
      <c r="A669" s="18">
        <v>2543</v>
      </c>
      <c r="B669" t="s">
        <v>1117</v>
      </c>
    </row>
    <row r="670" spans="1:2" x14ac:dyDescent="0.25">
      <c r="A670" s="18">
        <v>2544</v>
      </c>
      <c r="B670" t="s">
        <v>1118</v>
      </c>
    </row>
    <row r="671" spans="1:2" x14ac:dyDescent="0.25">
      <c r="A671" s="18">
        <v>2545</v>
      </c>
      <c r="B671" t="s">
        <v>1119</v>
      </c>
    </row>
    <row r="672" spans="1:2" x14ac:dyDescent="0.25">
      <c r="A672" s="18">
        <v>2546</v>
      </c>
      <c r="B672" t="s">
        <v>1120</v>
      </c>
    </row>
    <row r="673" spans="1:2" x14ac:dyDescent="0.25">
      <c r="A673" s="18">
        <v>2552</v>
      </c>
      <c r="B673" t="s">
        <v>1121</v>
      </c>
    </row>
    <row r="674" spans="1:2" x14ac:dyDescent="0.25">
      <c r="A674" s="18">
        <v>2554</v>
      </c>
      <c r="B674" t="s">
        <v>1122</v>
      </c>
    </row>
    <row r="675" spans="1:2" x14ac:dyDescent="0.25">
      <c r="A675" s="18">
        <v>2730</v>
      </c>
      <c r="B675" t="s">
        <v>734</v>
      </c>
    </row>
    <row r="676" spans="1:2" x14ac:dyDescent="0.25">
      <c r="A676" s="18">
        <v>2731</v>
      </c>
      <c r="B676" t="s">
        <v>1123</v>
      </c>
    </row>
    <row r="677" spans="1:2" x14ac:dyDescent="0.25">
      <c r="A677" s="18">
        <v>2946</v>
      </c>
      <c r="B677" t="s">
        <v>1124</v>
      </c>
    </row>
    <row r="678" spans="1:2" x14ac:dyDescent="0.25">
      <c r="A678" s="18">
        <v>428</v>
      </c>
      <c r="B678" t="s">
        <v>1125</v>
      </c>
    </row>
    <row r="679" spans="1:2" x14ac:dyDescent="0.25">
      <c r="A679" s="18">
        <v>432</v>
      </c>
      <c r="B679" t="s">
        <v>1126</v>
      </c>
    </row>
    <row r="680" spans="1:2" x14ac:dyDescent="0.25">
      <c r="A680" s="18">
        <v>450</v>
      </c>
      <c r="B680" t="s">
        <v>215</v>
      </c>
    </row>
    <row r="681" spans="1:2" x14ac:dyDescent="0.25">
      <c r="A681" s="18">
        <v>455</v>
      </c>
      <c r="B681" t="s">
        <v>1127</v>
      </c>
    </row>
    <row r="682" spans="1:2" x14ac:dyDescent="0.25">
      <c r="A682" s="18">
        <v>463</v>
      </c>
      <c r="B682" t="s">
        <v>1128</v>
      </c>
    </row>
    <row r="683" spans="1:2" x14ac:dyDescent="0.25">
      <c r="A683" s="18">
        <v>2407</v>
      </c>
      <c r="B683" t="s">
        <v>1129</v>
      </c>
    </row>
    <row r="684" spans="1:2" x14ac:dyDescent="0.25">
      <c r="A684" s="18">
        <v>2420</v>
      </c>
      <c r="B684" t="s">
        <v>1130</v>
      </c>
    </row>
    <row r="685" spans="1:2" x14ac:dyDescent="0.25">
      <c r="A685" s="18">
        <v>2475</v>
      </c>
      <c r="B685" t="s">
        <v>1131</v>
      </c>
    </row>
    <row r="686" spans="1:2" x14ac:dyDescent="0.25">
      <c r="A686" s="18">
        <v>2693</v>
      </c>
      <c r="B686" t="s">
        <v>1132</v>
      </c>
    </row>
    <row r="687" spans="1:2" x14ac:dyDescent="0.25">
      <c r="A687" s="18">
        <v>2886</v>
      </c>
      <c r="B687" t="s">
        <v>1133</v>
      </c>
    </row>
    <row r="688" spans="1:2" x14ac:dyDescent="0.25">
      <c r="A688" s="18">
        <v>513</v>
      </c>
      <c r="B688" t="s">
        <v>1134</v>
      </c>
    </row>
    <row r="689" spans="1:2" x14ac:dyDescent="0.25">
      <c r="A689" s="18">
        <v>517</v>
      </c>
      <c r="B689" t="s">
        <v>1135</v>
      </c>
    </row>
    <row r="690" spans="1:2" x14ac:dyDescent="0.25">
      <c r="A690" s="18">
        <v>528</v>
      </c>
      <c r="B690" t="s">
        <v>1136</v>
      </c>
    </row>
    <row r="691" spans="1:2" x14ac:dyDescent="0.25">
      <c r="A691" s="18">
        <v>532</v>
      </c>
      <c r="B691" t="s">
        <v>991</v>
      </c>
    </row>
    <row r="692" spans="1:2" x14ac:dyDescent="0.25">
      <c r="A692" s="18">
        <v>550</v>
      </c>
      <c r="B692" t="s">
        <v>1137</v>
      </c>
    </row>
    <row r="693" spans="1:2" x14ac:dyDescent="0.25">
      <c r="A693" s="18">
        <v>553</v>
      </c>
      <c r="B693" t="s">
        <v>1138</v>
      </c>
    </row>
    <row r="694" spans="1:2" x14ac:dyDescent="0.25">
      <c r="A694" s="18">
        <v>569</v>
      </c>
      <c r="B694" t="s">
        <v>1139</v>
      </c>
    </row>
    <row r="695" spans="1:2" x14ac:dyDescent="0.25">
      <c r="A695" s="18">
        <v>573</v>
      </c>
      <c r="B695" t="s">
        <v>1140</v>
      </c>
    </row>
    <row r="696" spans="1:2" x14ac:dyDescent="0.25">
      <c r="A696" s="18">
        <v>605</v>
      </c>
      <c r="B696" t="s">
        <v>1141</v>
      </c>
    </row>
    <row r="697" spans="1:2" x14ac:dyDescent="0.25">
      <c r="A697" s="18">
        <v>614</v>
      </c>
      <c r="B697" t="s">
        <v>1142</v>
      </c>
    </row>
    <row r="698" spans="1:2" x14ac:dyDescent="0.25">
      <c r="A698" s="18">
        <v>615</v>
      </c>
      <c r="B698" t="s">
        <v>250</v>
      </c>
    </row>
    <row r="699" spans="1:2" x14ac:dyDescent="0.25">
      <c r="A699" s="18">
        <v>631</v>
      </c>
      <c r="B699" t="s">
        <v>261</v>
      </c>
    </row>
    <row r="700" spans="1:2" x14ac:dyDescent="0.25">
      <c r="A700" s="18">
        <v>661</v>
      </c>
      <c r="B700" t="s">
        <v>1143</v>
      </c>
    </row>
    <row r="701" spans="1:2" x14ac:dyDescent="0.25">
      <c r="A701" s="18">
        <v>679</v>
      </c>
      <c r="B701" t="s">
        <v>1144</v>
      </c>
    </row>
    <row r="702" spans="1:2" x14ac:dyDescent="0.25">
      <c r="A702" s="18">
        <v>683</v>
      </c>
      <c r="B702" t="s">
        <v>1145</v>
      </c>
    </row>
    <row r="703" spans="1:2" x14ac:dyDescent="0.25">
      <c r="A703" s="18">
        <v>713</v>
      </c>
      <c r="B703" t="s">
        <v>1146</v>
      </c>
    </row>
    <row r="704" spans="1:2" x14ac:dyDescent="0.25">
      <c r="A704" s="18">
        <v>723</v>
      </c>
      <c r="B704" t="s">
        <v>1147</v>
      </c>
    </row>
    <row r="705" spans="1:2" x14ac:dyDescent="0.25">
      <c r="A705" s="18">
        <v>740</v>
      </c>
      <c r="B705" t="s">
        <v>1148</v>
      </c>
    </row>
    <row r="706" spans="1:2" x14ac:dyDescent="0.25">
      <c r="A706" s="18">
        <v>787</v>
      </c>
      <c r="B706" t="s">
        <v>1149</v>
      </c>
    </row>
    <row r="707" spans="1:2" x14ac:dyDescent="0.25">
      <c r="A707" s="18">
        <v>788</v>
      </c>
      <c r="B707" t="s">
        <v>1150</v>
      </c>
    </row>
    <row r="708" spans="1:2" x14ac:dyDescent="0.25">
      <c r="A708" s="18">
        <v>789</v>
      </c>
      <c r="B708" t="s">
        <v>1151</v>
      </c>
    </row>
    <row r="709" spans="1:2" x14ac:dyDescent="0.25">
      <c r="A709" s="18">
        <v>2253</v>
      </c>
      <c r="B709" t="s">
        <v>1152</v>
      </c>
    </row>
    <row r="710" spans="1:2" x14ac:dyDescent="0.25">
      <c r="A710" s="18">
        <v>2352</v>
      </c>
      <c r="B710" t="s">
        <v>682</v>
      </c>
    </row>
    <row r="711" spans="1:2" x14ac:dyDescent="0.25">
      <c r="A711" s="18">
        <v>2353</v>
      </c>
      <c r="B711" t="s">
        <v>1153</v>
      </c>
    </row>
    <row r="712" spans="1:2" x14ac:dyDescent="0.25">
      <c r="A712" s="18">
        <v>2373</v>
      </c>
      <c r="B712" t="s">
        <v>1154</v>
      </c>
    </row>
    <row r="713" spans="1:2" x14ac:dyDescent="0.25">
      <c r="A713" s="18">
        <v>2462</v>
      </c>
      <c r="B713" t="s">
        <v>1155</v>
      </c>
    </row>
    <row r="714" spans="1:2" x14ac:dyDescent="0.25">
      <c r="A714" s="18">
        <v>2470</v>
      </c>
      <c r="B714" t="s">
        <v>702</v>
      </c>
    </row>
    <row r="715" spans="1:2" x14ac:dyDescent="0.25">
      <c r="A715" s="18">
        <v>2471</v>
      </c>
      <c r="B715" t="s">
        <v>703</v>
      </c>
    </row>
    <row r="716" spans="1:2" x14ac:dyDescent="0.25">
      <c r="A716" s="18">
        <v>2518</v>
      </c>
      <c r="B716" t="s">
        <v>1156</v>
      </c>
    </row>
    <row r="717" spans="1:2" x14ac:dyDescent="0.25">
      <c r="A717" s="18">
        <v>2519</v>
      </c>
      <c r="B717" t="s">
        <v>1157</v>
      </c>
    </row>
    <row r="718" spans="1:2" x14ac:dyDescent="0.25">
      <c r="A718" s="18">
        <v>2521</v>
      </c>
      <c r="B718" t="s">
        <v>1158</v>
      </c>
    </row>
    <row r="719" spans="1:2" x14ac:dyDescent="0.25">
      <c r="A719" s="18">
        <v>2564</v>
      </c>
      <c r="B719" t="s">
        <v>1159</v>
      </c>
    </row>
    <row r="720" spans="1:2" x14ac:dyDescent="0.25">
      <c r="A720" s="18">
        <v>2565</v>
      </c>
      <c r="B720" t="s">
        <v>1160</v>
      </c>
    </row>
    <row r="721" spans="1:2" x14ac:dyDescent="0.25">
      <c r="A721" s="18">
        <v>2567</v>
      </c>
      <c r="B721" t="s">
        <v>1161</v>
      </c>
    </row>
    <row r="722" spans="1:2" x14ac:dyDescent="0.25">
      <c r="A722" s="18">
        <v>2568</v>
      </c>
      <c r="B722" t="s">
        <v>1162</v>
      </c>
    </row>
    <row r="723" spans="1:2" x14ac:dyDescent="0.25">
      <c r="A723" s="18">
        <v>2592</v>
      </c>
      <c r="B723" t="s">
        <v>1163</v>
      </c>
    </row>
    <row r="724" spans="1:2" x14ac:dyDescent="0.25">
      <c r="A724" s="18">
        <v>2618</v>
      </c>
      <c r="B724" t="s">
        <v>716</v>
      </c>
    </row>
    <row r="725" spans="1:2" x14ac:dyDescent="0.25">
      <c r="A725" s="18">
        <v>2619</v>
      </c>
      <c r="B725" t="s">
        <v>1164</v>
      </c>
    </row>
    <row r="726" spans="1:2" x14ac:dyDescent="0.25">
      <c r="A726" s="18">
        <v>2620</v>
      </c>
      <c r="B726" t="s">
        <v>1165</v>
      </c>
    </row>
    <row r="727" spans="1:2" x14ac:dyDescent="0.25">
      <c r="A727" s="18">
        <v>2622</v>
      </c>
      <c r="B727" t="s">
        <v>1015</v>
      </c>
    </row>
    <row r="728" spans="1:2" x14ac:dyDescent="0.25">
      <c r="A728" s="18">
        <v>2623</v>
      </c>
      <c r="B728" t="s">
        <v>1166</v>
      </c>
    </row>
    <row r="729" spans="1:2" x14ac:dyDescent="0.25">
      <c r="A729" s="18">
        <v>2624</v>
      </c>
      <c r="B729" t="s">
        <v>1167</v>
      </c>
    </row>
    <row r="730" spans="1:2" x14ac:dyDescent="0.25">
      <c r="A730" s="18">
        <v>2720</v>
      </c>
      <c r="B730" t="s">
        <v>1168</v>
      </c>
    </row>
    <row r="731" spans="1:2" x14ac:dyDescent="0.25">
      <c r="A731" s="18">
        <v>2892</v>
      </c>
      <c r="B731" t="s">
        <v>911</v>
      </c>
    </row>
    <row r="732" spans="1:2" x14ac:dyDescent="0.25">
      <c r="A732" s="18">
        <v>3076</v>
      </c>
      <c r="B732" t="s">
        <v>1169</v>
      </c>
    </row>
    <row r="733" spans="1:2" x14ac:dyDescent="0.25">
      <c r="A733" s="18">
        <v>3077</v>
      </c>
      <c r="B733" t="s">
        <v>1170</v>
      </c>
    </row>
    <row r="734" spans="1:2" x14ac:dyDescent="0.25">
      <c r="A734" s="18">
        <v>3078</v>
      </c>
      <c r="B734" t="s">
        <v>1171</v>
      </c>
    </row>
    <row r="735" spans="1:2" x14ac:dyDescent="0.25">
      <c r="A735" s="18">
        <v>3079</v>
      </c>
      <c r="B735" t="s">
        <v>1172</v>
      </c>
    </row>
    <row r="736" spans="1:2" x14ac:dyDescent="0.25">
      <c r="A736" s="18">
        <v>7650</v>
      </c>
      <c r="B736" t="s">
        <v>822</v>
      </c>
    </row>
    <row r="737" spans="1:2" x14ac:dyDescent="0.25">
      <c r="A737" s="18">
        <v>7651</v>
      </c>
      <c r="B737" t="s">
        <v>824</v>
      </c>
    </row>
    <row r="738" spans="1:2" x14ac:dyDescent="0.25">
      <c r="A738" s="18">
        <v>7653</v>
      </c>
      <c r="B738" t="s">
        <v>1173</v>
      </c>
    </row>
    <row r="739" spans="1:2" x14ac:dyDescent="0.25">
      <c r="A739" s="18">
        <v>7656</v>
      </c>
      <c r="B739" t="s">
        <v>1174</v>
      </c>
    </row>
    <row r="740" spans="1:2" x14ac:dyDescent="0.25">
      <c r="A740" s="18">
        <v>7659</v>
      </c>
      <c r="B740" t="s">
        <v>828</v>
      </c>
    </row>
    <row r="741" spans="1:2" x14ac:dyDescent="0.25">
      <c r="A741" s="18">
        <v>7660</v>
      </c>
      <c r="B741" t="s">
        <v>916</v>
      </c>
    </row>
    <row r="742" spans="1:2" x14ac:dyDescent="0.25">
      <c r="A742" s="18">
        <v>7662</v>
      </c>
      <c r="B742" t="s">
        <v>832</v>
      </c>
    </row>
    <row r="743" spans="1:2" x14ac:dyDescent="0.25">
      <c r="A743" s="18">
        <v>7663</v>
      </c>
      <c r="B743" t="s">
        <v>833</v>
      </c>
    </row>
    <row r="744" spans="1:2" x14ac:dyDescent="0.25">
      <c r="A744" s="18">
        <v>1337</v>
      </c>
      <c r="B744" t="s">
        <v>1175</v>
      </c>
    </row>
    <row r="745" spans="1:2" x14ac:dyDescent="0.25">
      <c r="A745" s="18">
        <v>1346</v>
      </c>
      <c r="B745" t="s">
        <v>521</v>
      </c>
    </row>
    <row r="746" spans="1:2" x14ac:dyDescent="0.25">
      <c r="A746" s="18">
        <v>2236</v>
      </c>
      <c r="B746" t="s">
        <v>662</v>
      </c>
    </row>
    <row r="747" spans="1:2" x14ac:dyDescent="0.25">
      <c r="A747" s="18">
        <v>2775</v>
      </c>
      <c r="B747" t="s">
        <v>747</v>
      </c>
    </row>
    <row r="748" spans="1:2" x14ac:dyDescent="0.25">
      <c r="A748" s="18">
        <v>2827</v>
      </c>
      <c r="B748" t="s">
        <v>757</v>
      </c>
    </row>
    <row r="749" spans="1:2" x14ac:dyDescent="0.25">
      <c r="A749" s="18">
        <v>2884</v>
      </c>
      <c r="B749" t="s">
        <v>1176</v>
      </c>
    </row>
    <row r="750" spans="1:2" x14ac:dyDescent="0.25">
      <c r="A750" s="18">
        <v>1504</v>
      </c>
      <c r="B750" t="s">
        <v>523</v>
      </c>
    </row>
    <row r="751" spans="1:2" x14ac:dyDescent="0.25">
      <c r="A751" s="18">
        <v>1515</v>
      </c>
      <c r="B751" t="s">
        <v>1177</v>
      </c>
    </row>
    <row r="752" spans="1:2" x14ac:dyDescent="0.25">
      <c r="A752" s="18">
        <v>1551</v>
      </c>
      <c r="B752" t="s">
        <v>554</v>
      </c>
    </row>
    <row r="753" spans="1:2" x14ac:dyDescent="0.25">
      <c r="A753" s="18">
        <v>1560</v>
      </c>
      <c r="B753" t="s">
        <v>557</v>
      </c>
    </row>
    <row r="754" spans="1:2" x14ac:dyDescent="0.25">
      <c r="A754" s="18">
        <v>1563</v>
      </c>
      <c r="B754" t="s">
        <v>561</v>
      </c>
    </row>
    <row r="755" spans="1:2" x14ac:dyDescent="0.25">
      <c r="A755" s="18">
        <v>2244</v>
      </c>
      <c r="B755" t="s">
        <v>1178</v>
      </c>
    </row>
    <row r="756" spans="1:2" x14ac:dyDescent="0.25">
      <c r="A756" s="18">
        <v>2548</v>
      </c>
      <c r="B756" t="s">
        <v>1179</v>
      </c>
    </row>
    <row r="757" spans="1:2" x14ac:dyDescent="0.25">
      <c r="A757" s="18">
        <v>2549</v>
      </c>
      <c r="B757" t="s">
        <v>1180</v>
      </c>
    </row>
    <row r="758" spans="1:2" x14ac:dyDescent="0.25">
      <c r="A758" s="18">
        <v>2555</v>
      </c>
      <c r="B758" t="s">
        <v>1181</v>
      </c>
    </row>
    <row r="759" spans="1:2" x14ac:dyDescent="0.25">
      <c r="A759" s="18">
        <v>2556</v>
      </c>
      <c r="B759" t="s">
        <v>1182</v>
      </c>
    </row>
    <row r="760" spans="1:2" x14ac:dyDescent="0.25">
      <c r="A760" s="18">
        <v>2588</v>
      </c>
      <c r="B760" t="s">
        <v>1183</v>
      </c>
    </row>
    <row r="761" spans="1:2" x14ac:dyDescent="0.25">
      <c r="A761" s="18">
        <v>2956</v>
      </c>
      <c r="B761" t="s">
        <v>1184</v>
      </c>
    </row>
    <row r="762" spans="1:2" x14ac:dyDescent="0.25">
      <c r="A762" s="18">
        <v>1640</v>
      </c>
      <c r="B762" t="s">
        <v>1185</v>
      </c>
    </row>
    <row r="763" spans="1:2" x14ac:dyDescent="0.25">
      <c r="A763" s="18">
        <v>1649</v>
      </c>
      <c r="B763" t="s">
        <v>1186</v>
      </c>
    </row>
    <row r="764" spans="1:2" x14ac:dyDescent="0.25">
      <c r="A764" s="18">
        <v>1674</v>
      </c>
      <c r="B764" t="s">
        <v>1187</v>
      </c>
    </row>
    <row r="765" spans="1:2" x14ac:dyDescent="0.25">
      <c r="A765" s="18">
        <v>1683</v>
      </c>
      <c r="B765" t="s">
        <v>1188</v>
      </c>
    </row>
    <row r="766" spans="1:2" x14ac:dyDescent="0.25">
      <c r="A766" s="18">
        <v>1685</v>
      </c>
      <c r="B766" t="s">
        <v>1189</v>
      </c>
    </row>
    <row r="767" spans="1:2" x14ac:dyDescent="0.25">
      <c r="A767" s="18">
        <v>1686</v>
      </c>
      <c r="B767" t="s">
        <v>583</v>
      </c>
    </row>
    <row r="768" spans="1:2" x14ac:dyDescent="0.25">
      <c r="A768" s="18">
        <v>1688</v>
      </c>
      <c r="B768" t="s">
        <v>1190</v>
      </c>
    </row>
    <row r="769" spans="1:2" x14ac:dyDescent="0.25">
      <c r="A769" s="18">
        <v>1689</v>
      </c>
      <c r="B769" t="s">
        <v>1191</v>
      </c>
    </row>
    <row r="770" spans="1:2" x14ac:dyDescent="0.25">
      <c r="A770" s="18">
        <v>2272</v>
      </c>
      <c r="B770" t="s">
        <v>1192</v>
      </c>
    </row>
    <row r="771" spans="1:2" x14ac:dyDescent="0.25">
      <c r="A771" s="18">
        <v>2914</v>
      </c>
      <c r="B771" t="s">
        <v>1193</v>
      </c>
    </row>
    <row r="772" spans="1:2" x14ac:dyDescent="0.25">
      <c r="A772" s="18">
        <v>2915</v>
      </c>
      <c r="B772" t="s">
        <v>1194</v>
      </c>
    </row>
    <row r="773" spans="1:2" x14ac:dyDescent="0.25">
      <c r="A773" s="17">
        <v>2238</v>
      </c>
      <c r="B773" s="16" t="s">
        <v>1195</v>
      </c>
    </row>
    <row r="774" spans="1:2" x14ac:dyDescent="0.25">
      <c r="A774" s="17">
        <v>2770</v>
      </c>
      <c r="B774" s="16" t="s">
        <v>744</v>
      </c>
    </row>
    <row r="775" spans="1:2" x14ac:dyDescent="0.25">
      <c r="A775" s="18">
        <v>1</v>
      </c>
      <c r="B775" t="s">
        <v>2</v>
      </c>
    </row>
    <row r="776" spans="1:2" x14ac:dyDescent="0.25">
      <c r="A776" s="18">
        <v>2</v>
      </c>
      <c r="B776" t="s">
        <v>4</v>
      </c>
    </row>
    <row r="777" spans="1:2" x14ac:dyDescent="0.25">
      <c r="A777" s="18">
        <v>5</v>
      </c>
      <c r="B777" t="s">
        <v>6</v>
      </c>
    </row>
    <row r="778" spans="1:2" x14ac:dyDescent="0.25">
      <c r="A778" s="18">
        <v>6</v>
      </c>
      <c r="B778" t="s">
        <v>8</v>
      </c>
    </row>
    <row r="779" spans="1:2" x14ac:dyDescent="0.25">
      <c r="A779" s="18">
        <v>7</v>
      </c>
      <c r="B779" t="s">
        <v>10</v>
      </c>
    </row>
    <row r="780" spans="1:2" x14ac:dyDescent="0.25">
      <c r="A780" s="18">
        <v>8</v>
      </c>
      <c r="B780" t="s">
        <v>1199</v>
      </c>
    </row>
    <row r="781" spans="1:2" x14ac:dyDescent="0.25">
      <c r="A781" s="18">
        <v>9</v>
      </c>
      <c r="B781" t="s">
        <v>12</v>
      </c>
    </row>
    <row r="782" spans="1:2" x14ac:dyDescent="0.25">
      <c r="A782" s="18">
        <v>10</v>
      </c>
      <c r="B782" t="s">
        <v>1200</v>
      </c>
    </row>
    <row r="783" spans="1:2" x14ac:dyDescent="0.25">
      <c r="A783" s="18">
        <v>11</v>
      </c>
      <c r="B783" t="s">
        <v>13</v>
      </c>
    </row>
    <row r="784" spans="1:2" x14ac:dyDescent="0.25">
      <c r="A784" s="18">
        <v>13</v>
      </c>
      <c r="B784" t="s">
        <v>15</v>
      </c>
    </row>
    <row r="785" spans="1:2" x14ac:dyDescent="0.25">
      <c r="A785" s="18">
        <v>14</v>
      </c>
      <c r="B785" t="s">
        <v>1105</v>
      </c>
    </row>
    <row r="786" spans="1:2" x14ac:dyDescent="0.25">
      <c r="A786" s="18">
        <v>15</v>
      </c>
      <c r="B786" t="s">
        <v>16</v>
      </c>
    </row>
    <row r="787" spans="1:2" x14ac:dyDescent="0.25">
      <c r="A787" s="18">
        <v>16</v>
      </c>
      <c r="B787" t="s">
        <v>18</v>
      </c>
    </row>
    <row r="788" spans="1:2" x14ac:dyDescent="0.25">
      <c r="A788" s="18">
        <v>17</v>
      </c>
      <c r="B788" t="s">
        <v>20</v>
      </c>
    </row>
    <row r="789" spans="1:2" x14ac:dyDescent="0.25">
      <c r="A789" s="18">
        <v>19</v>
      </c>
      <c r="B789" t="s">
        <v>22</v>
      </c>
    </row>
    <row r="790" spans="1:2" x14ac:dyDescent="0.25">
      <c r="A790" s="18">
        <v>20</v>
      </c>
      <c r="B790" t="s">
        <v>978</v>
      </c>
    </row>
    <row r="791" spans="1:2" x14ac:dyDescent="0.25">
      <c r="A791" s="18">
        <v>21</v>
      </c>
      <c r="B791" t="s">
        <v>24</v>
      </c>
    </row>
    <row r="792" spans="1:2" x14ac:dyDescent="0.25">
      <c r="A792" s="18">
        <v>22</v>
      </c>
      <c r="B792" t="s">
        <v>1201</v>
      </c>
    </row>
    <row r="793" spans="1:2" x14ac:dyDescent="0.25">
      <c r="A793" s="18">
        <v>23</v>
      </c>
      <c r="B793" t="s">
        <v>25</v>
      </c>
    </row>
    <row r="794" spans="1:2" x14ac:dyDescent="0.25">
      <c r="A794" s="18">
        <v>24</v>
      </c>
      <c r="B794" t="s">
        <v>862</v>
      </c>
    </row>
    <row r="795" spans="1:2" x14ac:dyDescent="0.25">
      <c r="A795" s="18">
        <v>25</v>
      </c>
      <c r="B795" t="s">
        <v>1202</v>
      </c>
    </row>
    <row r="796" spans="1:2" x14ac:dyDescent="0.25">
      <c r="A796" s="18">
        <v>28</v>
      </c>
      <c r="B796" t="s">
        <v>26</v>
      </c>
    </row>
    <row r="797" spans="1:2" x14ac:dyDescent="0.25">
      <c r="A797" s="18">
        <v>29</v>
      </c>
      <c r="B797" t="s">
        <v>28</v>
      </c>
    </row>
    <row r="798" spans="1:2" x14ac:dyDescent="0.25">
      <c r="A798" s="18">
        <v>31</v>
      </c>
      <c r="B798" t="s">
        <v>30</v>
      </c>
    </row>
    <row r="799" spans="1:2" x14ac:dyDescent="0.25">
      <c r="A799" s="18">
        <v>35</v>
      </c>
      <c r="B799" t="s">
        <v>1203</v>
      </c>
    </row>
    <row r="800" spans="1:2" x14ac:dyDescent="0.25">
      <c r="A800" s="18">
        <v>36</v>
      </c>
      <c r="B800" t="s">
        <v>31</v>
      </c>
    </row>
    <row r="801" spans="1:2" x14ac:dyDescent="0.25">
      <c r="A801" s="18">
        <v>37</v>
      </c>
      <c r="B801" t="s">
        <v>33</v>
      </c>
    </row>
    <row r="802" spans="1:2" x14ac:dyDescent="0.25">
      <c r="A802" s="18">
        <v>38</v>
      </c>
      <c r="B802" t="s">
        <v>863</v>
      </c>
    </row>
    <row r="803" spans="1:2" x14ac:dyDescent="0.25">
      <c r="A803" s="18">
        <v>39</v>
      </c>
      <c r="B803" t="s">
        <v>35</v>
      </c>
    </row>
    <row r="804" spans="1:2" x14ac:dyDescent="0.25">
      <c r="A804" s="18">
        <v>41</v>
      </c>
      <c r="B804" t="s">
        <v>37</v>
      </c>
    </row>
    <row r="805" spans="1:2" x14ac:dyDescent="0.25">
      <c r="A805" s="18">
        <v>42</v>
      </c>
      <c r="B805" t="s">
        <v>38</v>
      </c>
    </row>
    <row r="806" spans="1:2" x14ac:dyDescent="0.25">
      <c r="A806" s="18">
        <v>47</v>
      </c>
      <c r="B806" t="s">
        <v>39</v>
      </c>
    </row>
    <row r="807" spans="1:2" x14ac:dyDescent="0.25">
      <c r="A807" s="18">
        <v>48</v>
      </c>
      <c r="B807" t="s">
        <v>41</v>
      </c>
    </row>
    <row r="808" spans="1:2" x14ac:dyDescent="0.25">
      <c r="A808" s="18">
        <v>49</v>
      </c>
      <c r="B808" t="s">
        <v>42</v>
      </c>
    </row>
    <row r="809" spans="1:2" x14ac:dyDescent="0.25">
      <c r="A809" s="18">
        <v>50</v>
      </c>
      <c r="B809" t="s">
        <v>43</v>
      </c>
    </row>
    <row r="810" spans="1:2" x14ac:dyDescent="0.25">
      <c r="A810" s="18">
        <v>51</v>
      </c>
      <c r="B810" t="s">
        <v>44</v>
      </c>
    </row>
    <row r="811" spans="1:2" x14ac:dyDescent="0.25">
      <c r="A811" s="18">
        <v>52</v>
      </c>
      <c r="B811" t="s">
        <v>864</v>
      </c>
    </row>
    <row r="812" spans="1:2" x14ac:dyDescent="0.25">
      <c r="A812" s="18">
        <v>53</v>
      </c>
      <c r="B812" t="s">
        <v>46</v>
      </c>
    </row>
    <row r="813" spans="1:2" x14ac:dyDescent="0.25">
      <c r="A813" s="18">
        <v>54</v>
      </c>
      <c r="B813" t="s">
        <v>48</v>
      </c>
    </row>
    <row r="814" spans="1:2" x14ac:dyDescent="0.25">
      <c r="A814" s="18">
        <v>55</v>
      </c>
      <c r="B814" t="s">
        <v>50</v>
      </c>
    </row>
    <row r="815" spans="1:2" x14ac:dyDescent="0.25">
      <c r="A815" s="18">
        <v>57</v>
      </c>
      <c r="B815" t="s">
        <v>865</v>
      </c>
    </row>
    <row r="816" spans="1:2" x14ac:dyDescent="0.25">
      <c r="A816" s="18">
        <v>58</v>
      </c>
      <c r="B816" t="s">
        <v>52</v>
      </c>
    </row>
    <row r="817" spans="1:2" x14ac:dyDescent="0.25">
      <c r="A817" s="18">
        <v>60</v>
      </c>
      <c r="B817" t="s">
        <v>979</v>
      </c>
    </row>
    <row r="818" spans="1:2" x14ac:dyDescent="0.25">
      <c r="A818" s="18">
        <v>61</v>
      </c>
      <c r="B818" t="s">
        <v>54</v>
      </c>
    </row>
    <row r="819" spans="1:2" x14ac:dyDescent="0.25">
      <c r="A819" s="18">
        <v>62</v>
      </c>
      <c r="B819" t="s">
        <v>866</v>
      </c>
    </row>
    <row r="820" spans="1:2" x14ac:dyDescent="0.25">
      <c r="A820" s="18">
        <v>64</v>
      </c>
      <c r="B820" t="s">
        <v>1204</v>
      </c>
    </row>
    <row r="821" spans="1:2" x14ac:dyDescent="0.25">
      <c r="A821" s="18">
        <v>67</v>
      </c>
      <c r="B821" t="s">
        <v>56</v>
      </c>
    </row>
    <row r="822" spans="1:2" x14ac:dyDescent="0.25">
      <c r="A822" s="18">
        <v>68</v>
      </c>
      <c r="B822" t="s">
        <v>1106</v>
      </c>
    </row>
    <row r="823" spans="1:2" x14ac:dyDescent="0.25">
      <c r="A823" s="18">
        <v>70</v>
      </c>
      <c r="B823" t="s">
        <v>57</v>
      </c>
    </row>
    <row r="824" spans="1:2" x14ac:dyDescent="0.25">
      <c r="A824" s="18">
        <v>71</v>
      </c>
      <c r="B824" t="s">
        <v>59</v>
      </c>
    </row>
    <row r="825" spans="1:2" x14ac:dyDescent="0.25">
      <c r="A825" s="18">
        <v>74</v>
      </c>
      <c r="B825" t="s">
        <v>61</v>
      </c>
    </row>
    <row r="826" spans="1:2" x14ac:dyDescent="0.25">
      <c r="A826" s="18">
        <v>75</v>
      </c>
      <c r="B826" t="s">
        <v>1205</v>
      </c>
    </row>
    <row r="827" spans="1:2" x14ac:dyDescent="0.25">
      <c r="A827" s="18">
        <v>77</v>
      </c>
      <c r="B827" t="s">
        <v>867</v>
      </c>
    </row>
    <row r="828" spans="1:2" x14ac:dyDescent="0.25">
      <c r="A828" s="18">
        <v>78</v>
      </c>
      <c r="B828" t="s">
        <v>63</v>
      </c>
    </row>
    <row r="829" spans="1:2" x14ac:dyDescent="0.25">
      <c r="A829" s="18">
        <v>84</v>
      </c>
      <c r="B829" t="s">
        <v>1206</v>
      </c>
    </row>
    <row r="830" spans="1:2" x14ac:dyDescent="0.25">
      <c r="A830" s="18">
        <v>86</v>
      </c>
      <c r="B830" t="s">
        <v>1207</v>
      </c>
    </row>
    <row r="831" spans="1:2" x14ac:dyDescent="0.25">
      <c r="A831" s="18">
        <v>87</v>
      </c>
      <c r="B831" t="s">
        <v>1208</v>
      </c>
    </row>
    <row r="832" spans="1:2" x14ac:dyDescent="0.25">
      <c r="A832" s="18">
        <v>88</v>
      </c>
      <c r="B832" t="s">
        <v>1107</v>
      </c>
    </row>
    <row r="833" spans="1:2" x14ac:dyDescent="0.25">
      <c r="A833" s="18">
        <v>89</v>
      </c>
      <c r="B833" t="s">
        <v>980</v>
      </c>
    </row>
    <row r="834" spans="1:2" x14ac:dyDescent="0.25">
      <c r="A834" s="18">
        <v>96</v>
      </c>
      <c r="B834" t="s">
        <v>67</v>
      </c>
    </row>
    <row r="835" spans="1:2" x14ac:dyDescent="0.25">
      <c r="A835" s="18">
        <v>98</v>
      </c>
      <c r="B835" t="s">
        <v>1209</v>
      </c>
    </row>
    <row r="836" spans="1:2" x14ac:dyDescent="0.25">
      <c r="A836" s="18">
        <v>2202</v>
      </c>
      <c r="B836" t="s">
        <v>1210</v>
      </c>
    </row>
    <row r="837" spans="1:2" x14ac:dyDescent="0.25">
      <c r="A837" s="18">
        <v>2287</v>
      </c>
      <c r="B837" t="s">
        <v>905</v>
      </c>
    </row>
    <row r="838" spans="1:2" x14ac:dyDescent="0.25">
      <c r="A838" s="18">
        <v>2409</v>
      </c>
      <c r="B838" t="s">
        <v>907</v>
      </c>
    </row>
    <row r="839" spans="1:2" x14ac:dyDescent="0.25">
      <c r="A839" s="18">
        <v>2604</v>
      </c>
      <c r="B839" t="s">
        <v>1108</v>
      </c>
    </row>
    <row r="840" spans="1:2" x14ac:dyDescent="0.25">
      <c r="A840" s="18">
        <v>2606</v>
      </c>
      <c r="B840" t="s">
        <v>1211</v>
      </c>
    </row>
    <row r="841" spans="1:2" x14ac:dyDescent="0.25">
      <c r="A841" s="18">
        <v>2607</v>
      </c>
      <c r="B841" t="s">
        <v>1212</v>
      </c>
    </row>
    <row r="842" spans="1:2" x14ac:dyDescent="0.25">
      <c r="A842" s="18">
        <v>2608</v>
      </c>
      <c r="B842" t="s">
        <v>1213</v>
      </c>
    </row>
    <row r="843" spans="1:2" x14ac:dyDescent="0.25">
      <c r="A843" s="18">
        <v>2633</v>
      </c>
      <c r="B843" t="s">
        <v>909</v>
      </c>
    </row>
    <row r="844" spans="1:2" x14ac:dyDescent="0.25">
      <c r="A844" s="18">
        <v>2694</v>
      </c>
      <c r="B844" t="s">
        <v>1214</v>
      </c>
    </row>
    <row r="845" spans="1:2" x14ac:dyDescent="0.25">
      <c r="A845" s="18">
        <v>2742</v>
      </c>
      <c r="B845" t="s">
        <v>738</v>
      </c>
    </row>
    <row r="846" spans="1:2" x14ac:dyDescent="0.25">
      <c r="A846" s="18">
        <v>2747</v>
      </c>
      <c r="B846" t="s">
        <v>742</v>
      </c>
    </row>
    <row r="847" spans="1:2" x14ac:dyDescent="0.25">
      <c r="A847" s="18">
        <v>2765</v>
      </c>
      <c r="B847" t="s">
        <v>743</v>
      </c>
    </row>
    <row r="848" spans="1:2" x14ac:dyDescent="0.25">
      <c r="A848" s="18">
        <v>2773</v>
      </c>
      <c r="B848" t="s">
        <v>1017</v>
      </c>
    </row>
    <row r="849" spans="1:2" x14ac:dyDescent="0.25">
      <c r="A849" s="18">
        <v>2774</v>
      </c>
      <c r="B849" t="s">
        <v>1215</v>
      </c>
    </row>
    <row r="850" spans="1:2" x14ac:dyDescent="0.25">
      <c r="A850" s="18">
        <v>2786</v>
      </c>
      <c r="B850" t="s">
        <v>1216</v>
      </c>
    </row>
    <row r="851" spans="1:2" x14ac:dyDescent="0.25">
      <c r="A851" s="18">
        <v>2787</v>
      </c>
      <c r="B851" t="s">
        <v>751</v>
      </c>
    </row>
    <row r="852" spans="1:2" x14ac:dyDescent="0.25">
      <c r="A852" s="18">
        <v>2843</v>
      </c>
      <c r="B852" t="s">
        <v>758</v>
      </c>
    </row>
    <row r="853" spans="1:2" x14ac:dyDescent="0.25">
      <c r="A853" s="18">
        <v>2844</v>
      </c>
      <c r="B853" t="s">
        <v>1217</v>
      </c>
    </row>
    <row r="854" spans="1:2" x14ac:dyDescent="0.25">
      <c r="A854" s="18">
        <v>2848</v>
      </c>
      <c r="B854" t="s">
        <v>1218</v>
      </c>
    </row>
    <row r="855" spans="1:2" x14ac:dyDescent="0.25">
      <c r="A855" s="18">
        <v>2849</v>
      </c>
      <c r="B855" t="s">
        <v>1219</v>
      </c>
    </row>
    <row r="856" spans="1:2" x14ac:dyDescent="0.25">
      <c r="A856" s="18">
        <v>2876</v>
      </c>
      <c r="B856" t="s">
        <v>1109</v>
      </c>
    </row>
    <row r="857" spans="1:2" x14ac:dyDescent="0.25">
      <c r="A857" s="18">
        <v>2877</v>
      </c>
      <c r="B857" t="s">
        <v>765</v>
      </c>
    </row>
    <row r="858" spans="1:2" x14ac:dyDescent="0.25">
      <c r="A858" s="18">
        <v>2880</v>
      </c>
      <c r="B858" t="s">
        <v>1220</v>
      </c>
    </row>
    <row r="859" spans="1:2" x14ac:dyDescent="0.25">
      <c r="A859" s="18">
        <v>2893</v>
      </c>
      <c r="B859" t="s">
        <v>1221</v>
      </c>
    </row>
    <row r="860" spans="1:2" x14ac:dyDescent="0.25">
      <c r="A860" s="18">
        <v>2901</v>
      </c>
      <c r="B860" t="s">
        <v>1222</v>
      </c>
    </row>
    <row r="861" spans="1:2" x14ac:dyDescent="0.25">
      <c r="A861" s="18">
        <v>2903</v>
      </c>
      <c r="B861" t="s">
        <v>1110</v>
      </c>
    </row>
    <row r="862" spans="1:2" x14ac:dyDescent="0.25">
      <c r="A862" s="18">
        <v>2904</v>
      </c>
      <c r="B862" t="s">
        <v>1111</v>
      </c>
    </row>
    <row r="863" spans="1:2" x14ac:dyDescent="0.25">
      <c r="A863" s="18">
        <v>2930</v>
      </c>
      <c r="B863" t="s">
        <v>780</v>
      </c>
    </row>
    <row r="864" spans="1:2" x14ac:dyDescent="0.25">
      <c r="A864" s="18">
        <v>2934</v>
      </c>
      <c r="B864" t="s">
        <v>1223</v>
      </c>
    </row>
    <row r="865" spans="1:2" x14ac:dyDescent="0.25">
      <c r="A865" s="18">
        <v>2935</v>
      </c>
      <c r="B865" t="s">
        <v>1224</v>
      </c>
    </row>
    <row r="866" spans="1:2" x14ac:dyDescent="0.25">
      <c r="A866" s="18">
        <v>2940</v>
      </c>
      <c r="B866" t="s">
        <v>1225</v>
      </c>
    </row>
    <row r="867" spans="1:2" x14ac:dyDescent="0.25">
      <c r="A867" s="18">
        <v>2952</v>
      </c>
      <c r="B867" t="s">
        <v>1226</v>
      </c>
    </row>
    <row r="868" spans="1:2" x14ac:dyDescent="0.25">
      <c r="A868" s="18">
        <v>2955</v>
      </c>
      <c r="B868" t="s">
        <v>1112</v>
      </c>
    </row>
    <row r="869" spans="1:2" x14ac:dyDescent="0.25">
      <c r="A869" s="18">
        <v>2975</v>
      </c>
      <c r="B869" t="s">
        <v>1227</v>
      </c>
    </row>
    <row r="870" spans="1:2" x14ac:dyDescent="0.25">
      <c r="A870" s="18">
        <v>2976</v>
      </c>
      <c r="B870" t="s">
        <v>1113</v>
      </c>
    </row>
    <row r="871" spans="1:2" x14ac:dyDescent="0.25">
      <c r="A871" s="18">
        <v>2977</v>
      </c>
      <c r="B871" t="s">
        <v>1228</v>
      </c>
    </row>
    <row r="872" spans="1:2" x14ac:dyDescent="0.25">
      <c r="A872" s="18">
        <v>2988</v>
      </c>
      <c r="B872" t="s">
        <v>1229</v>
      </c>
    </row>
    <row r="873" spans="1:2" x14ac:dyDescent="0.25">
      <c r="A873" s="18">
        <v>3002</v>
      </c>
      <c r="B873" t="s">
        <v>1230</v>
      </c>
    </row>
    <row r="874" spans="1:2" x14ac:dyDescent="0.25">
      <c r="A874" s="18">
        <v>3003</v>
      </c>
      <c r="B874" t="s">
        <v>1231</v>
      </c>
    </row>
    <row r="875" spans="1:2" x14ac:dyDescent="0.25">
      <c r="A875" s="18">
        <v>3036</v>
      </c>
      <c r="B875" t="s">
        <v>1232</v>
      </c>
    </row>
    <row r="876" spans="1:2" x14ac:dyDescent="0.25">
      <c r="A876" s="18">
        <v>3038</v>
      </c>
      <c r="B876" t="s">
        <v>1233</v>
      </c>
    </row>
    <row r="877" spans="1:2" x14ac:dyDescent="0.25">
      <c r="A877" s="18">
        <v>3048</v>
      </c>
      <c r="B877" t="s">
        <v>1234</v>
      </c>
    </row>
    <row r="878" spans="1:2" x14ac:dyDescent="0.25">
      <c r="A878" s="18">
        <v>3049</v>
      </c>
      <c r="B878" t="s">
        <v>1235</v>
      </c>
    </row>
    <row r="879" spans="1:2" x14ac:dyDescent="0.25">
      <c r="A879" s="18">
        <v>3065</v>
      </c>
      <c r="B879" t="s">
        <v>1236</v>
      </c>
    </row>
    <row r="880" spans="1:2" x14ac:dyDescent="0.25">
      <c r="A880" s="18">
        <v>3067</v>
      </c>
      <c r="B880" t="s">
        <v>1237</v>
      </c>
    </row>
    <row r="881" spans="1:2" x14ac:dyDescent="0.25">
      <c r="A881" s="18">
        <v>3071</v>
      </c>
      <c r="B881" t="s">
        <v>1238</v>
      </c>
    </row>
    <row r="882" spans="1:2" x14ac:dyDescent="0.25">
      <c r="A882" s="18">
        <v>100</v>
      </c>
      <c r="B882" t="s">
        <v>69</v>
      </c>
    </row>
    <row r="883" spans="1:2" x14ac:dyDescent="0.25">
      <c r="A883" s="18">
        <v>101</v>
      </c>
      <c r="B883" t="s">
        <v>71</v>
      </c>
    </row>
    <row r="884" spans="1:2" x14ac:dyDescent="0.25">
      <c r="A884" s="18">
        <v>102</v>
      </c>
      <c r="B884" t="s">
        <v>73</v>
      </c>
    </row>
    <row r="885" spans="1:2" x14ac:dyDescent="0.25">
      <c r="A885" s="18">
        <v>105</v>
      </c>
      <c r="B885" t="s">
        <v>75</v>
      </c>
    </row>
    <row r="886" spans="1:2" x14ac:dyDescent="0.25">
      <c r="A886" s="18">
        <v>106</v>
      </c>
      <c r="B886" t="s">
        <v>76</v>
      </c>
    </row>
    <row r="887" spans="1:2" x14ac:dyDescent="0.25">
      <c r="A887" s="18">
        <v>107</v>
      </c>
      <c r="B887" t="s">
        <v>78</v>
      </c>
    </row>
    <row r="888" spans="1:2" x14ac:dyDescent="0.25">
      <c r="A888" s="18">
        <v>108</v>
      </c>
      <c r="B888" t="s">
        <v>868</v>
      </c>
    </row>
    <row r="889" spans="1:2" x14ac:dyDescent="0.25">
      <c r="A889" s="18">
        <v>109</v>
      </c>
      <c r="B889" t="s">
        <v>79</v>
      </c>
    </row>
    <row r="890" spans="1:2" x14ac:dyDescent="0.25">
      <c r="A890" s="18">
        <v>110</v>
      </c>
      <c r="B890" t="s">
        <v>869</v>
      </c>
    </row>
    <row r="891" spans="1:2" x14ac:dyDescent="0.25">
      <c r="A891" s="18">
        <v>111</v>
      </c>
      <c r="B891" t="s">
        <v>1239</v>
      </c>
    </row>
    <row r="892" spans="1:2" x14ac:dyDescent="0.25">
      <c r="A892" s="18">
        <v>112</v>
      </c>
      <c r="B892" t="s">
        <v>981</v>
      </c>
    </row>
    <row r="893" spans="1:2" x14ac:dyDescent="0.25">
      <c r="A893" s="18">
        <v>113</v>
      </c>
      <c r="B893" t="s">
        <v>81</v>
      </c>
    </row>
    <row r="894" spans="1:2" x14ac:dyDescent="0.25">
      <c r="A894" s="18">
        <v>114</v>
      </c>
      <c r="B894" t="s">
        <v>83</v>
      </c>
    </row>
    <row r="895" spans="1:2" x14ac:dyDescent="0.25">
      <c r="A895" s="18">
        <v>115</v>
      </c>
      <c r="B895" t="s">
        <v>85</v>
      </c>
    </row>
    <row r="896" spans="1:2" x14ac:dyDescent="0.25">
      <c r="A896" s="18">
        <v>117</v>
      </c>
      <c r="B896" t="s">
        <v>870</v>
      </c>
    </row>
    <row r="897" spans="1:2" x14ac:dyDescent="0.25">
      <c r="A897" s="18">
        <v>118</v>
      </c>
      <c r="B897" t="s">
        <v>87</v>
      </c>
    </row>
    <row r="898" spans="1:2" x14ac:dyDescent="0.25">
      <c r="A898" s="18">
        <v>119</v>
      </c>
      <c r="B898" t="s">
        <v>89</v>
      </c>
    </row>
    <row r="899" spans="1:2" x14ac:dyDescent="0.25">
      <c r="A899" s="18">
        <v>120</v>
      </c>
      <c r="B899" t="s">
        <v>91</v>
      </c>
    </row>
    <row r="900" spans="1:2" x14ac:dyDescent="0.25">
      <c r="A900" s="18">
        <v>122</v>
      </c>
      <c r="B900" t="s">
        <v>1240</v>
      </c>
    </row>
    <row r="901" spans="1:2" x14ac:dyDescent="0.25">
      <c r="A901" s="18">
        <v>123</v>
      </c>
      <c r="B901" t="s">
        <v>93</v>
      </c>
    </row>
    <row r="902" spans="1:2" x14ac:dyDescent="0.25">
      <c r="A902" s="18">
        <v>124</v>
      </c>
      <c r="B902" t="s">
        <v>95</v>
      </c>
    </row>
    <row r="903" spans="1:2" x14ac:dyDescent="0.25">
      <c r="A903" s="18">
        <v>125</v>
      </c>
      <c r="B903" t="s">
        <v>97</v>
      </c>
    </row>
    <row r="904" spans="1:2" x14ac:dyDescent="0.25">
      <c r="A904" s="18">
        <v>126</v>
      </c>
      <c r="B904" t="s">
        <v>1241</v>
      </c>
    </row>
    <row r="905" spans="1:2" x14ac:dyDescent="0.25">
      <c r="A905" s="18">
        <v>127</v>
      </c>
      <c r="B905" t="s">
        <v>99</v>
      </c>
    </row>
    <row r="906" spans="1:2" x14ac:dyDescent="0.25">
      <c r="A906" s="18">
        <v>128</v>
      </c>
      <c r="B906" t="s">
        <v>101</v>
      </c>
    </row>
    <row r="907" spans="1:2" x14ac:dyDescent="0.25">
      <c r="A907" s="18">
        <v>129</v>
      </c>
      <c r="B907" t="s">
        <v>103</v>
      </c>
    </row>
    <row r="908" spans="1:2" x14ac:dyDescent="0.25">
      <c r="A908" s="18">
        <v>130</v>
      </c>
      <c r="B908" t="s">
        <v>104</v>
      </c>
    </row>
    <row r="909" spans="1:2" x14ac:dyDescent="0.25">
      <c r="A909" s="18">
        <v>131</v>
      </c>
      <c r="B909" t="s">
        <v>105</v>
      </c>
    </row>
    <row r="910" spans="1:2" x14ac:dyDescent="0.25">
      <c r="A910" s="18">
        <v>132</v>
      </c>
      <c r="B910" t="s">
        <v>1242</v>
      </c>
    </row>
    <row r="911" spans="1:2" x14ac:dyDescent="0.25">
      <c r="A911" s="18">
        <v>133</v>
      </c>
      <c r="B911" t="s">
        <v>1243</v>
      </c>
    </row>
    <row r="912" spans="1:2" x14ac:dyDescent="0.25">
      <c r="A912" s="18">
        <v>135</v>
      </c>
      <c r="B912" t="s">
        <v>106</v>
      </c>
    </row>
    <row r="913" spans="1:2" x14ac:dyDescent="0.25">
      <c r="A913" s="18">
        <v>136</v>
      </c>
      <c r="B913" t="s">
        <v>1244</v>
      </c>
    </row>
    <row r="914" spans="1:2" x14ac:dyDescent="0.25">
      <c r="A914" s="18">
        <v>137</v>
      </c>
      <c r="B914" t="s">
        <v>1245</v>
      </c>
    </row>
    <row r="915" spans="1:2" x14ac:dyDescent="0.25">
      <c r="A915" s="18">
        <v>138</v>
      </c>
      <c r="B915" t="s">
        <v>871</v>
      </c>
    </row>
    <row r="916" spans="1:2" x14ac:dyDescent="0.25">
      <c r="A916" s="18">
        <v>139</v>
      </c>
      <c r="B916" t="s">
        <v>108</v>
      </c>
    </row>
    <row r="917" spans="1:2" x14ac:dyDescent="0.25">
      <c r="A917" s="18">
        <v>140</v>
      </c>
      <c r="B917" t="s">
        <v>110</v>
      </c>
    </row>
    <row r="918" spans="1:2" x14ac:dyDescent="0.25">
      <c r="A918" s="18">
        <v>141</v>
      </c>
      <c r="B918" t="s">
        <v>983</v>
      </c>
    </row>
    <row r="919" spans="1:2" x14ac:dyDescent="0.25">
      <c r="A919" s="18">
        <v>143</v>
      </c>
      <c r="B919" t="s">
        <v>1246</v>
      </c>
    </row>
    <row r="920" spans="1:2" x14ac:dyDescent="0.25">
      <c r="A920" s="18">
        <v>163</v>
      </c>
      <c r="B920" t="s">
        <v>112</v>
      </c>
    </row>
    <row r="921" spans="1:2" x14ac:dyDescent="0.25">
      <c r="A921" s="18">
        <v>177</v>
      </c>
      <c r="B921" t="s">
        <v>1247</v>
      </c>
    </row>
    <row r="922" spans="1:2" x14ac:dyDescent="0.25">
      <c r="A922" s="18">
        <v>179</v>
      </c>
      <c r="B922" t="s">
        <v>1248</v>
      </c>
    </row>
    <row r="923" spans="1:2" x14ac:dyDescent="0.25">
      <c r="A923" s="18">
        <v>180</v>
      </c>
      <c r="B923" t="s">
        <v>1249</v>
      </c>
    </row>
    <row r="924" spans="1:2" x14ac:dyDescent="0.25">
      <c r="A924" s="18">
        <v>182</v>
      </c>
      <c r="B924" t="s">
        <v>114</v>
      </c>
    </row>
    <row r="925" spans="1:2" x14ac:dyDescent="0.25">
      <c r="A925" s="18">
        <v>183</v>
      </c>
      <c r="B925" t="s">
        <v>116</v>
      </c>
    </row>
    <row r="926" spans="1:2" x14ac:dyDescent="0.25">
      <c r="A926" s="18">
        <v>648</v>
      </c>
      <c r="B926" t="s">
        <v>1250</v>
      </c>
    </row>
    <row r="927" spans="1:2" x14ac:dyDescent="0.25">
      <c r="A927" s="18">
        <v>2468</v>
      </c>
      <c r="B927" t="s">
        <v>1251</v>
      </c>
    </row>
    <row r="928" spans="1:2" x14ac:dyDescent="0.25">
      <c r="A928" s="18">
        <v>2480</v>
      </c>
      <c r="B928" t="s">
        <v>1252</v>
      </c>
    </row>
    <row r="929" spans="1:2" x14ac:dyDescent="0.25">
      <c r="A929" s="18">
        <v>2481</v>
      </c>
      <c r="B929" t="s">
        <v>1253</v>
      </c>
    </row>
    <row r="930" spans="1:2" x14ac:dyDescent="0.25">
      <c r="A930" s="18">
        <v>2540</v>
      </c>
      <c r="B930" t="s">
        <v>1014</v>
      </c>
    </row>
    <row r="931" spans="1:2" x14ac:dyDescent="0.25">
      <c r="A931" s="18">
        <v>2718</v>
      </c>
      <c r="B931" t="s">
        <v>1254</v>
      </c>
    </row>
    <row r="932" spans="1:2" x14ac:dyDescent="0.25">
      <c r="A932" s="18">
        <v>2725</v>
      </c>
      <c r="B932" t="s">
        <v>1255</v>
      </c>
    </row>
    <row r="933" spans="1:2" x14ac:dyDescent="0.25">
      <c r="A933" s="18">
        <v>2818</v>
      </c>
      <c r="B933" t="s">
        <v>1256</v>
      </c>
    </row>
    <row r="934" spans="1:2" x14ac:dyDescent="0.25">
      <c r="A934" s="18">
        <v>2821</v>
      </c>
      <c r="B934" t="s">
        <v>1257</v>
      </c>
    </row>
    <row r="935" spans="1:2" x14ac:dyDescent="0.25">
      <c r="A935" s="18">
        <v>2878</v>
      </c>
      <c r="B935" t="s">
        <v>1258</v>
      </c>
    </row>
    <row r="936" spans="1:2" x14ac:dyDescent="0.25">
      <c r="A936" s="18">
        <v>2926</v>
      </c>
      <c r="B936" t="s">
        <v>1259</v>
      </c>
    </row>
    <row r="937" spans="1:2" x14ac:dyDescent="0.25">
      <c r="A937" s="18">
        <v>200</v>
      </c>
      <c r="B937" t="s">
        <v>984</v>
      </c>
    </row>
    <row r="938" spans="1:2" x14ac:dyDescent="0.25">
      <c r="A938" s="18">
        <v>207</v>
      </c>
      <c r="B938" t="s">
        <v>1260</v>
      </c>
    </row>
    <row r="939" spans="1:2" x14ac:dyDescent="0.25">
      <c r="A939" s="18">
        <v>208</v>
      </c>
      <c r="B939" t="s">
        <v>985</v>
      </c>
    </row>
    <row r="940" spans="1:2" x14ac:dyDescent="0.25">
      <c r="A940" s="18">
        <v>209</v>
      </c>
      <c r="B940" t="s">
        <v>118</v>
      </c>
    </row>
    <row r="941" spans="1:2" x14ac:dyDescent="0.25">
      <c r="A941" s="18">
        <v>210</v>
      </c>
      <c r="B941" t="s">
        <v>1261</v>
      </c>
    </row>
    <row r="942" spans="1:2" x14ac:dyDescent="0.25">
      <c r="A942" s="18">
        <v>214</v>
      </c>
      <c r="B942" t="s">
        <v>1262</v>
      </c>
    </row>
    <row r="943" spans="1:2" x14ac:dyDescent="0.25">
      <c r="A943" s="18">
        <v>216</v>
      </c>
      <c r="B943" t="s">
        <v>120</v>
      </c>
    </row>
    <row r="944" spans="1:2" x14ac:dyDescent="0.25">
      <c r="A944" s="18">
        <v>217</v>
      </c>
      <c r="B944" t="s">
        <v>1263</v>
      </c>
    </row>
    <row r="945" spans="1:2" x14ac:dyDescent="0.25">
      <c r="A945" s="18">
        <v>219</v>
      </c>
      <c r="B945" t="s">
        <v>1264</v>
      </c>
    </row>
    <row r="946" spans="1:2" x14ac:dyDescent="0.25">
      <c r="A946" s="18">
        <v>220</v>
      </c>
      <c r="B946" t="s">
        <v>1265</v>
      </c>
    </row>
    <row r="947" spans="1:2" x14ac:dyDescent="0.25">
      <c r="A947" s="18">
        <v>221</v>
      </c>
      <c r="B947" t="s">
        <v>1266</v>
      </c>
    </row>
    <row r="948" spans="1:2" x14ac:dyDescent="0.25">
      <c r="A948" s="18">
        <v>227</v>
      </c>
      <c r="B948" t="s">
        <v>122</v>
      </c>
    </row>
    <row r="949" spans="1:2" x14ac:dyDescent="0.25">
      <c r="A949" s="18">
        <v>240</v>
      </c>
      <c r="B949" t="s">
        <v>872</v>
      </c>
    </row>
    <row r="950" spans="1:2" x14ac:dyDescent="0.25">
      <c r="A950" s="18">
        <v>241</v>
      </c>
      <c r="B950" t="s">
        <v>124</v>
      </c>
    </row>
    <row r="951" spans="1:2" x14ac:dyDescent="0.25">
      <c r="A951" s="18">
        <v>247</v>
      </c>
      <c r="B951" t="s">
        <v>126</v>
      </c>
    </row>
    <row r="952" spans="1:2" x14ac:dyDescent="0.25">
      <c r="A952" s="18">
        <v>248</v>
      </c>
      <c r="B952" t="s">
        <v>128</v>
      </c>
    </row>
    <row r="953" spans="1:2" x14ac:dyDescent="0.25">
      <c r="A953" s="18">
        <v>250</v>
      </c>
      <c r="B953" t="s">
        <v>1267</v>
      </c>
    </row>
    <row r="954" spans="1:2" x14ac:dyDescent="0.25">
      <c r="A954" s="18">
        <v>252</v>
      </c>
      <c r="B954" t="s">
        <v>130</v>
      </c>
    </row>
    <row r="955" spans="1:2" x14ac:dyDescent="0.25">
      <c r="A955" s="18">
        <v>253</v>
      </c>
      <c r="B955" t="s">
        <v>132</v>
      </c>
    </row>
    <row r="956" spans="1:2" x14ac:dyDescent="0.25">
      <c r="A956" s="18">
        <v>254</v>
      </c>
      <c r="B956" t="s">
        <v>134</v>
      </c>
    </row>
    <row r="957" spans="1:2" x14ac:dyDescent="0.25">
      <c r="A957" s="18">
        <v>255</v>
      </c>
      <c r="B957" t="s">
        <v>136</v>
      </c>
    </row>
    <row r="958" spans="1:2" x14ac:dyDescent="0.25">
      <c r="A958" s="18">
        <v>256</v>
      </c>
      <c r="B958" t="s">
        <v>1268</v>
      </c>
    </row>
    <row r="959" spans="1:2" x14ac:dyDescent="0.25">
      <c r="A959" s="18">
        <v>257</v>
      </c>
      <c r="B959" t="s">
        <v>1114</v>
      </c>
    </row>
    <row r="960" spans="1:2" x14ac:dyDescent="0.25">
      <c r="A960" s="18">
        <v>258</v>
      </c>
      <c r="B960" t="s">
        <v>1115</v>
      </c>
    </row>
    <row r="961" spans="1:2" x14ac:dyDescent="0.25">
      <c r="A961" s="18">
        <v>259</v>
      </c>
      <c r="B961" t="s">
        <v>137</v>
      </c>
    </row>
    <row r="962" spans="1:2" x14ac:dyDescent="0.25">
      <c r="A962" s="18">
        <v>260</v>
      </c>
      <c r="B962" t="s">
        <v>873</v>
      </c>
    </row>
    <row r="963" spans="1:2" x14ac:dyDescent="0.25">
      <c r="A963" s="18">
        <v>261</v>
      </c>
      <c r="B963" t="s">
        <v>139</v>
      </c>
    </row>
    <row r="964" spans="1:2" x14ac:dyDescent="0.25">
      <c r="A964" s="18">
        <v>262</v>
      </c>
      <c r="B964" t="s">
        <v>140</v>
      </c>
    </row>
    <row r="965" spans="1:2" x14ac:dyDescent="0.25">
      <c r="A965" s="18">
        <v>263</v>
      </c>
      <c r="B965" t="s">
        <v>1269</v>
      </c>
    </row>
    <row r="966" spans="1:2" x14ac:dyDescent="0.25">
      <c r="A966" s="18">
        <v>264</v>
      </c>
      <c r="B966" t="s">
        <v>986</v>
      </c>
    </row>
    <row r="967" spans="1:2" x14ac:dyDescent="0.25">
      <c r="A967" s="18">
        <v>265</v>
      </c>
      <c r="B967" t="s">
        <v>1270</v>
      </c>
    </row>
    <row r="968" spans="1:2" x14ac:dyDescent="0.25">
      <c r="A968" s="18">
        <v>266</v>
      </c>
      <c r="B968" t="s">
        <v>141</v>
      </c>
    </row>
    <row r="969" spans="1:2" x14ac:dyDescent="0.25">
      <c r="A969" s="18">
        <v>267</v>
      </c>
      <c r="B969" t="s">
        <v>142</v>
      </c>
    </row>
    <row r="970" spans="1:2" x14ac:dyDescent="0.25">
      <c r="A970" s="18">
        <v>268</v>
      </c>
      <c r="B970" t="s">
        <v>1271</v>
      </c>
    </row>
    <row r="971" spans="1:2" x14ac:dyDescent="0.25">
      <c r="A971" s="18">
        <v>270</v>
      </c>
      <c r="B971" t="s">
        <v>144</v>
      </c>
    </row>
    <row r="972" spans="1:2" x14ac:dyDescent="0.25">
      <c r="A972" s="18">
        <v>271</v>
      </c>
      <c r="B972" t="s">
        <v>1272</v>
      </c>
    </row>
    <row r="973" spans="1:2" x14ac:dyDescent="0.25">
      <c r="A973" s="18">
        <v>275</v>
      </c>
      <c r="B973" t="s">
        <v>146</v>
      </c>
    </row>
    <row r="974" spans="1:2" x14ac:dyDescent="0.25">
      <c r="A974" s="18">
        <v>276</v>
      </c>
      <c r="B974" t="s">
        <v>1273</v>
      </c>
    </row>
    <row r="975" spans="1:2" x14ac:dyDescent="0.25">
      <c r="A975" s="18">
        <v>277</v>
      </c>
      <c r="B975" t="s">
        <v>148</v>
      </c>
    </row>
    <row r="976" spans="1:2" x14ac:dyDescent="0.25">
      <c r="A976" s="18">
        <v>278</v>
      </c>
      <c r="B976" t="s">
        <v>1274</v>
      </c>
    </row>
    <row r="977" spans="1:2" x14ac:dyDescent="0.25">
      <c r="A977" s="18">
        <v>279</v>
      </c>
      <c r="B977" t="s">
        <v>1275</v>
      </c>
    </row>
    <row r="978" spans="1:2" x14ac:dyDescent="0.25">
      <c r="A978" s="18">
        <v>280</v>
      </c>
      <c r="B978" t="s">
        <v>874</v>
      </c>
    </row>
    <row r="979" spans="1:2" x14ac:dyDescent="0.25">
      <c r="A979" s="18">
        <v>281</v>
      </c>
      <c r="B979" t="s">
        <v>149</v>
      </c>
    </row>
    <row r="980" spans="1:2" x14ac:dyDescent="0.25">
      <c r="A980" s="18">
        <v>283</v>
      </c>
      <c r="B980" t="s">
        <v>875</v>
      </c>
    </row>
    <row r="981" spans="1:2" x14ac:dyDescent="0.25">
      <c r="A981" s="18">
        <v>287</v>
      </c>
      <c r="B981" t="s">
        <v>151</v>
      </c>
    </row>
    <row r="982" spans="1:2" x14ac:dyDescent="0.25">
      <c r="A982" s="18">
        <v>288</v>
      </c>
      <c r="B982" t="s">
        <v>152</v>
      </c>
    </row>
    <row r="983" spans="1:2" x14ac:dyDescent="0.25">
      <c r="A983" s="18">
        <v>292</v>
      </c>
      <c r="B983" t="s">
        <v>154</v>
      </c>
    </row>
    <row r="984" spans="1:2" x14ac:dyDescent="0.25">
      <c r="A984" s="18">
        <v>298</v>
      </c>
      <c r="B984" t="s">
        <v>876</v>
      </c>
    </row>
    <row r="985" spans="1:2" x14ac:dyDescent="0.25">
      <c r="A985" s="18">
        <v>299</v>
      </c>
      <c r="B985" t="s">
        <v>987</v>
      </c>
    </row>
    <row r="986" spans="1:2" x14ac:dyDescent="0.25">
      <c r="A986" s="18">
        <v>300</v>
      </c>
      <c r="B986" t="s">
        <v>1116</v>
      </c>
    </row>
    <row r="987" spans="1:2" x14ac:dyDescent="0.25">
      <c r="A987" s="18">
        <v>301</v>
      </c>
      <c r="B987" t="s">
        <v>877</v>
      </c>
    </row>
    <row r="988" spans="1:2" x14ac:dyDescent="0.25">
      <c r="A988" s="18">
        <v>302</v>
      </c>
      <c r="B988" t="s">
        <v>155</v>
      </c>
    </row>
    <row r="989" spans="1:2" x14ac:dyDescent="0.25">
      <c r="A989" s="18">
        <v>303</v>
      </c>
      <c r="B989" t="s">
        <v>157</v>
      </c>
    </row>
    <row r="990" spans="1:2" x14ac:dyDescent="0.25">
      <c r="A990" s="18">
        <v>304</v>
      </c>
      <c r="B990" t="s">
        <v>159</v>
      </c>
    </row>
    <row r="991" spans="1:2" x14ac:dyDescent="0.25">
      <c r="A991" s="18">
        <v>305</v>
      </c>
      <c r="B991" t="s">
        <v>160</v>
      </c>
    </row>
    <row r="992" spans="1:2" x14ac:dyDescent="0.25">
      <c r="A992" s="18">
        <v>307</v>
      </c>
      <c r="B992" t="s">
        <v>162</v>
      </c>
    </row>
    <row r="993" spans="1:2" x14ac:dyDescent="0.25">
      <c r="A993" s="18">
        <v>308</v>
      </c>
      <c r="B993" t="s">
        <v>163</v>
      </c>
    </row>
    <row r="994" spans="1:2" x14ac:dyDescent="0.25">
      <c r="A994" s="18">
        <v>309</v>
      </c>
      <c r="B994" t="s">
        <v>165</v>
      </c>
    </row>
    <row r="995" spans="1:2" x14ac:dyDescent="0.25">
      <c r="A995" s="18">
        <v>310</v>
      </c>
      <c r="B995" t="s">
        <v>167</v>
      </c>
    </row>
    <row r="996" spans="1:2" x14ac:dyDescent="0.25">
      <c r="A996" s="18">
        <v>311</v>
      </c>
      <c r="B996" t="s">
        <v>169</v>
      </c>
    </row>
    <row r="997" spans="1:2" x14ac:dyDescent="0.25">
      <c r="A997" s="18">
        <v>312</v>
      </c>
      <c r="B997" t="s">
        <v>171</v>
      </c>
    </row>
    <row r="998" spans="1:2" x14ac:dyDescent="0.25">
      <c r="A998" s="18">
        <v>313</v>
      </c>
      <c r="B998" t="s">
        <v>173</v>
      </c>
    </row>
    <row r="999" spans="1:2" x14ac:dyDescent="0.25">
      <c r="A999" s="18">
        <v>316</v>
      </c>
      <c r="B999" t="s">
        <v>1276</v>
      </c>
    </row>
    <row r="1000" spans="1:2" x14ac:dyDescent="0.25">
      <c r="A1000" s="18">
        <v>318</v>
      </c>
      <c r="B1000" t="s">
        <v>1277</v>
      </c>
    </row>
    <row r="1001" spans="1:2" x14ac:dyDescent="0.25">
      <c r="A1001" s="18">
        <v>319</v>
      </c>
      <c r="B1001" t="s">
        <v>175</v>
      </c>
    </row>
    <row r="1002" spans="1:2" x14ac:dyDescent="0.25">
      <c r="A1002" s="18">
        <v>320</v>
      </c>
      <c r="B1002" t="s">
        <v>1278</v>
      </c>
    </row>
    <row r="1003" spans="1:2" x14ac:dyDescent="0.25">
      <c r="A1003" s="18">
        <v>321</v>
      </c>
      <c r="B1003" t="s">
        <v>1279</v>
      </c>
    </row>
    <row r="1004" spans="1:2" x14ac:dyDescent="0.25">
      <c r="A1004" s="18">
        <v>322</v>
      </c>
      <c r="B1004" t="s">
        <v>1280</v>
      </c>
    </row>
    <row r="1005" spans="1:2" x14ac:dyDescent="0.25">
      <c r="A1005" s="18">
        <v>323</v>
      </c>
      <c r="B1005" t="s">
        <v>1281</v>
      </c>
    </row>
    <row r="1006" spans="1:2" x14ac:dyDescent="0.25">
      <c r="A1006" s="18">
        <v>324</v>
      </c>
      <c r="B1006" t="s">
        <v>1282</v>
      </c>
    </row>
    <row r="1007" spans="1:2" x14ac:dyDescent="0.25">
      <c r="A1007" s="18">
        <v>325</v>
      </c>
      <c r="B1007" t="s">
        <v>179</v>
      </c>
    </row>
    <row r="1008" spans="1:2" x14ac:dyDescent="0.25">
      <c r="A1008" s="18">
        <v>326</v>
      </c>
      <c r="B1008" t="s">
        <v>1283</v>
      </c>
    </row>
    <row r="1009" spans="1:2" x14ac:dyDescent="0.25">
      <c r="A1009" s="18">
        <v>328</v>
      </c>
      <c r="B1009" t="s">
        <v>180</v>
      </c>
    </row>
    <row r="1010" spans="1:2" x14ac:dyDescent="0.25">
      <c r="A1010" s="18">
        <v>329</v>
      </c>
      <c r="B1010" t="s">
        <v>1284</v>
      </c>
    </row>
    <row r="1011" spans="1:2" x14ac:dyDescent="0.25">
      <c r="A1011" s="18">
        <v>330</v>
      </c>
      <c r="B1011" t="s">
        <v>182</v>
      </c>
    </row>
    <row r="1012" spans="1:2" x14ac:dyDescent="0.25">
      <c r="A1012" s="18">
        <v>331</v>
      </c>
      <c r="B1012" t="s">
        <v>184</v>
      </c>
    </row>
    <row r="1013" spans="1:2" x14ac:dyDescent="0.25">
      <c r="A1013" s="18">
        <v>332</v>
      </c>
      <c r="B1013" t="s">
        <v>988</v>
      </c>
    </row>
    <row r="1014" spans="1:2" x14ac:dyDescent="0.25">
      <c r="A1014" s="18">
        <v>334</v>
      </c>
      <c r="B1014" t="s">
        <v>186</v>
      </c>
    </row>
    <row r="1015" spans="1:2" x14ac:dyDescent="0.25">
      <c r="A1015" s="18">
        <v>335</v>
      </c>
      <c r="B1015" t="s">
        <v>1285</v>
      </c>
    </row>
    <row r="1016" spans="1:2" x14ac:dyDescent="0.25">
      <c r="A1016" s="18">
        <v>337</v>
      </c>
      <c r="B1016" t="s">
        <v>188</v>
      </c>
    </row>
    <row r="1017" spans="1:2" x14ac:dyDescent="0.25">
      <c r="A1017" s="18">
        <v>339</v>
      </c>
      <c r="B1017" t="s">
        <v>190</v>
      </c>
    </row>
    <row r="1018" spans="1:2" x14ac:dyDescent="0.25">
      <c r="A1018" s="18">
        <v>340</v>
      </c>
      <c r="B1018" t="s">
        <v>989</v>
      </c>
    </row>
    <row r="1019" spans="1:2" x14ac:dyDescent="0.25">
      <c r="A1019" s="18">
        <v>341</v>
      </c>
      <c r="B1019" t="s">
        <v>192</v>
      </c>
    </row>
    <row r="1020" spans="1:2" x14ac:dyDescent="0.25">
      <c r="A1020" s="18">
        <v>342</v>
      </c>
      <c r="B1020" t="s">
        <v>194</v>
      </c>
    </row>
    <row r="1021" spans="1:2" x14ac:dyDescent="0.25">
      <c r="A1021" s="18">
        <v>344</v>
      </c>
      <c r="B1021" t="s">
        <v>195</v>
      </c>
    </row>
    <row r="1022" spans="1:2" x14ac:dyDescent="0.25">
      <c r="A1022" s="18">
        <v>346</v>
      </c>
      <c r="B1022" t="s">
        <v>197</v>
      </c>
    </row>
    <row r="1023" spans="1:2" x14ac:dyDescent="0.25">
      <c r="A1023" s="18">
        <v>347</v>
      </c>
      <c r="B1023" t="s">
        <v>990</v>
      </c>
    </row>
    <row r="1024" spans="1:2" x14ac:dyDescent="0.25">
      <c r="A1024" s="18">
        <v>348</v>
      </c>
      <c r="B1024" t="s">
        <v>1286</v>
      </c>
    </row>
    <row r="1025" spans="1:2" x14ac:dyDescent="0.25">
      <c r="A1025" s="18">
        <v>2196</v>
      </c>
      <c r="B1025" t="s">
        <v>1287</v>
      </c>
    </row>
    <row r="1026" spans="1:2" x14ac:dyDescent="0.25">
      <c r="A1026" s="18">
        <v>2281</v>
      </c>
      <c r="B1026" t="s">
        <v>1288</v>
      </c>
    </row>
    <row r="1027" spans="1:2" x14ac:dyDescent="0.25">
      <c r="A1027" s="18">
        <v>2354</v>
      </c>
      <c r="B1027" t="s">
        <v>1289</v>
      </c>
    </row>
    <row r="1028" spans="1:2" x14ac:dyDescent="0.25">
      <c r="A1028" s="18">
        <v>2358</v>
      </c>
      <c r="B1028" t="s">
        <v>683</v>
      </c>
    </row>
    <row r="1029" spans="1:2" x14ac:dyDescent="0.25">
      <c r="A1029" s="18">
        <v>2473</v>
      </c>
      <c r="B1029" t="s">
        <v>705</v>
      </c>
    </row>
    <row r="1030" spans="1:2" x14ac:dyDescent="0.25">
      <c r="A1030" s="18">
        <v>2543</v>
      </c>
      <c r="B1030" t="s">
        <v>1117</v>
      </c>
    </row>
    <row r="1031" spans="1:2" x14ac:dyDescent="0.25">
      <c r="A1031" s="18">
        <v>2544</v>
      </c>
      <c r="B1031" t="s">
        <v>1118</v>
      </c>
    </row>
    <row r="1032" spans="1:2" x14ac:dyDescent="0.25">
      <c r="A1032" s="18">
        <v>2545</v>
      </c>
      <c r="B1032" t="s">
        <v>1119</v>
      </c>
    </row>
    <row r="1033" spans="1:2" x14ac:dyDescent="0.25">
      <c r="A1033" s="18">
        <v>2546</v>
      </c>
      <c r="B1033" t="s">
        <v>1120</v>
      </c>
    </row>
    <row r="1034" spans="1:2" x14ac:dyDescent="0.25">
      <c r="A1034" s="18">
        <v>2552</v>
      </c>
      <c r="B1034" t="s">
        <v>1121</v>
      </c>
    </row>
    <row r="1035" spans="1:2" x14ac:dyDescent="0.25">
      <c r="A1035" s="18">
        <v>2554</v>
      </c>
      <c r="B1035" t="s">
        <v>1122</v>
      </c>
    </row>
    <row r="1036" spans="1:2" x14ac:dyDescent="0.25">
      <c r="A1036" s="18">
        <v>2673</v>
      </c>
      <c r="B1036" t="s">
        <v>722</v>
      </c>
    </row>
    <row r="1037" spans="1:2" x14ac:dyDescent="0.25">
      <c r="A1037" s="18">
        <v>2730</v>
      </c>
      <c r="B1037" t="s">
        <v>734</v>
      </c>
    </row>
    <row r="1038" spans="1:2" x14ac:dyDescent="0.25">
      <c r="A1038" s="18">
        <v>2731</v>
      </c>
      <c r="B1038" t="s">
        <v>1123</v>
      </c>
    </row>
    <row r="1039" spans="1:2" x14ac:dyDescent="0.25">
      <c r="A1039" s="18">
        <v>2732</v>
      </c>
      <c r="B1039" t="s">
        <v>1290</v>
      </c>
    </row>
    <row r="1040" spans="1:2" x14ac:dyDescent="0.25">
      <c r="A1040" s="18">
        <v>2743</v>
      </c>
      <c r="B1040" t="s">
        <v>740</v>
      </c>
    </row>
    <row r="1041" spans="1:2" x14ac:dyDescent="0.25">
      <c r="A1041" s="18">
        <v>2875</v>
      </c>
      <c r="B1041" t="s">
        <v>764</v>
      </c>
    </row>
    <row r="1042" spans="1:2" x14ac:dyDescent="0.25">
      <c r="A1042" s="18">
        <v>2889</v>
      </c>
      <c r="B1042" t="s">
        <v>1291</v>
      </c>
    </row>
    <row r="1043" spans="1:2" x14ac:dyDescent="0.25">
      <c r="A1043" s="18">
        <v>2900</v>
      </c>
      <c r="B1043" t="s">
        <v>774</v>
      </c>
    </row>
    <row r="1044" spans="1:2" x14ac:dyDescent="0.25">
      <c r="A1044" s="18">
        <v>2941</v>
      </c>
      <c r="B1044" t="s">
        <v>1292</v>
      </c>
    </row>
    <row r="1045" spans="1:2" x14ac:dyDescent="0.25">
      <c r="A1045" s="18">
        <v>2942</v>
      </c>
      <c r="B1045" t="s">
        <v>1293</v>
      </c>
    </row>
    <row r="1046" spans="1:2" x14ac:dyDescent="0.25">
      <c r="A1046" s="18">
        <v>2943</v>
      </c>
      <c r="B1046" t="s">
        <v>1294</v>
      </c>
    </row>
    <row r="1047" spans="1:2" x14ac:dyDescent="0.25">
      <c r="A1047" s="18">
        <v>2946</v>
      </c>
      <c r="B1047" t="s">
        <v>1124</v>
      </c>
    </row>
    <row r="1048" spans="1:2" x14ac:dyDescent="0.25">
      <c r="A1048" s="18">
        <v>2947</v>
      </c>
      <c r="B1048" t="s">
        <v>1295</v>
      </c>
    </row>
    <row r="1049" spans="1:2" x14ac:dyDescent="0.25">
      <c r="A1049" s="18">
        <v>3083</v>
      </c>
      <c r="B1049" t="s">
        <v>1296</v>
      </c>
    </row>
    <row r="1050" spans="1:2" x14ac:dyDescent="0.25">
      <c r="A1050" s="18">
        <v>3092</v>
      </c>
      <c r="B1050" t="s">
        <v>820</v>
      </c>
    </row>
    <row r="1051" spans="1:2" x14ac:dyDescent="0.25">
      <c r="A1051" s="18" t="s">
        <v>1196</v>
      </c>
      <c r="B1051"/>
    </row>
    <row r="1052" spans="1:2" x14ac:dyDescent="0.25">
      <c r="A1052" s="18">
        <v>358</v>
      </c>
      <c r="B1052" t="s">
        <v>1297</v>
      </c>
    </row>
    <row r="1053" spans="1:2" x14ac:dyDescent="0.25">
      <c r="A1053" s="18">
        <v>366</v>
      </c>
      <c r="B1053" t="s">
        <v>199</v>
      </c>
    </row>
    <row r="1054" spans="1:2" x14ac:dyDescent="0.25">
      <c r="A1054" s="18">
        <v>370</v>
      </c>
      <c r="B1054" t="s">
        <v>1298</v>
      </c>
    </row>
    <row r="1055" spans="1:2" x14ac:dyDescent="0.25">
      <c r="A1055" s="18">
        <v>371</v>
      </c>
      <c r="B1055" t="s">
        <v>1299</v>
      </c>
    </row>
    <row r="1056" spans="1:2" x14ac:dyDescent="0.25">
      <c r="A1056" s="18">
        <v>373</v>
      </c>
      <c r="B1056" t="s">
        <v>1300</v>
      </c>
    </row>
    <row r="1057" spans="1:2" x14ac:dyDescent="0.25">
      <c r="A1057" s="18">
        <v>400</v>
      </c>
      <c r="B1057" t="s">
        <v>201</v>
      </c>
    </row>
    <row r="1058" spans="1:2" x14ac:dyDescent="0.25">
      <c r="A1058" s="18">
        <v>401</v>
      </c>
      <c r="B1058" t="s">
        <v>1301</v>
      </c>
    </row>
    <row r="1059" spans="1:2" x14ac:dyDescent="0.25">
      <c r="A1059" s="18">
        <v>402</v>
      </c>
      <c r="B1059" t="s">
        <v>1302</v>
      </c>
    </row>
    <row r="1060" spans="1:2" x14ac:dyDescent="0.25">
      <c r="A1060" s="18">
        <v>403</v>
      </c>
      <c r="B1060" t="s">
        <v>1303</v>
      </c>
    </row>
    <row r="1061" spans="1:2" x14ac:dyDescent="0.25">
      <c r="A1061" s="18">
        <v>404</v>
      </c>
      <c r="B1061" t="s">
        <v>203</v>
      </c>
    </row>
    <row r="1062" spans="1:2" x14ac:dyDescent="0.25">
      <c r="A1062" s="18">
        <v>405</v>
      </c>
      <c r="B1062" t="s">
        <v>1304</v>
      </c>
    </row>
    <row r="1063" spans="1:2" x14ac:dyDescent="0.25">
      <c r="A1063" s="18">
        <v>406</v>
      </c>
      <c r="B1063" t="s">
        <v>1305</v>
      </c>
    </row>
    <row r="1064" spans="1:2" x14ac:dyDescent="0.25">
      <c r="A1064" s="18">
        <v>407</v>
      </c>
      <c r="B1064" t="s">
        <v>205</v>
      </c>
    </row>
    <row r="1065" spans="1:2" x14ac:dyDescent="0.25">
      <c r="A1065" s="18">
        <v>408</v>
      </c>
      <c r="B1065" t="s">
        <v>207</v>
      </c>
    </row>
    <row r="1066" spans="1:2" x14ac:dyDescent="0.25">
      <c r="A1066" s="18">
        <v>410</v>
      </c>
      <c r="B1066" t="s">
        <v>1306</v>
      </c>
    </row>
    <row r="1067" spans="1:2" x14ac:dyDescent="0.25">
      <c r="A1067" s="18">
        <v>412</v>
      </c>
      <c r="B1067" t="s">
        <v>1307</v>
      </c>
    </row>
    <row r="1068" spans="1:2" x14ac:dyDescent="0.25">
      <c r="A1068" s="18">
        <v>414</v>
      </c>
      <c r="B1068" t="s">
        <v>1308</v>
      </c>
    </row>
    <row r="1069" spans="1:2" x14ac:dyDescent="0.25">
      <c r="A1069" s="18">
        <v>415</v>
      </c>
      <c r="B1069" t="s">
        <v>209</v>
      </c>
    </row>
    <row r="1070" spans="1:2" x14ac:dyDescent="0.25">
      <c r="A1070" s="18">
        <v>416</v>
      </c>
      <c r="B1070" t="s">
        <v>211</v>
      </c>
    </row>
    <row r="1071" spans="1:2" x14ac:dyDescent="0.25">
      <c r="A1071" s="18">
        <v>417</v>
      </c>
      <c r="B1071" t="s">
        <v>879</v>
      </c>
    </row>
    <row r="1072" spans="1:2" x14ac:dyDescent="0.25">
      <c r="A1072" s="18">
        <v>418</v>
      </c>
      <c r="B1072" t="s">
        <v>880</v>
      </c>
    </row>
    <row r="1073" spans="1:2" x14ac:dyDescent="0.25">
      <c r="A1073" s="18">
        <v>419</v>
      </c>
      <c r="B1073" t="s">
        <v>213</v>
      </c>
    </row>
    <row r="1074" spans="1:2" x14ac:dyDescent="0.25">
      <c r="A1074" s="18">
        <v>423</v>
      </c>
      <c r="B1074" t="s">
        <v>1309</v>
      </c>
    </row>
    <row r="1075" spans="1:2" x14ac:dyDescent="0.25">
      <c r="A1075" s="18">
        <v>424</v>
      </c>
      <c r="B1075" t="s">
        <v>1310</v>
      </c>
    </row>
    <row r="1076" spans="1:2" x14ac:dyDescent="0.25">
      <c r="A1076" s="18">
        <v>426</v>
      </c>
      <c r="B1076" t="s">
        <v>1311</v>
      </c>
    </row>
    <row r="1077" spans="1:2" x14ac:dyDescent="0.25">
      <c r="A1077" s="18">
        <v>428</v>
      </c>
      <c r="B1077" t="s">
        <v>1125</v>
      </c>
    </row>
    <row r="1078" spans="1:2" x14ac:dyDescent="0.25">
      <c r="A1078" s="18">
        <v>431</v>
      </c>
      <c r="B1078" t="s">
        <v>1312</v>
      </c>
    </row>
    <row r="1079" spans="1:2" x14ac:dyDescent="0.25">
      <c r="A1079" s="18">
        <v>432</v>
      </c>
      <c r="B1079" t="s">
        <v>1126</v>
      </c>
    </row>
    <row r="1080" spans="1:2" x14ac:dyDescent="0.25">
      <c r="A1080" s="18">
        <v>440</v>
      </c>
      <c r="B1080" t="s">
        <v>1313</v>
      </c>
    </row>
    <row r="1081" spans="1:2" x14ac:dyDescent="0.25">
      <c r="A1081" s="18">
        <v>441</v>
      </c>
      <c r="B1081" t="s">
        <v>1314</v>
      </c>
    </row>
    <row r="1082" spans="1:2" x14ac:dyDescent="0.25">
      <c r="A1082" s="18">
        <v>450</v>
      </c>
      <c r="B1082" t="s">
        <v>215</v>
      </c>
    </row>
    <row r="1083" spans="1:2" x14ac:dyDescent="0.25">
      <c r="A1083" s="18">
        <v>455</v>
      </c>
      <c r="B1083" t="s">
        <v>1127</v>
      </c>
    </row>
    <row r="1084" spans="1:2" x14ac:dyDescent="0.25">
      <c r="A1084" s="18">
        <v>461</v>
      </c>
      <c r="B1084" t="s">
        <v>1315</v>
      </c>
    </row>
    <row r="1085" spans="1:2" x14ac:dyDescent="0.25">
      <c r="A1085" s="18">
        <v>462</v>
      </c>
      <c r="B1085" t="s">
        <v>1316</v>
      </c>
    </row>
    <row r="1086" spans="1:2" x14ac:dyDescent="0.25">
      <c r="A1086" s="18">
        <v>463</v>
      </c>
      <c r="B1086" t="s">
        <v>1128</v>
      </c>
    </row>
    <row r="1087" spans="1:2" x14ac:dyDescent="0.25">
      <c r="A1087" s="18">
        <v>464</v>
      </c>
      <c r="B1087" t="s">
        <v>1317</v>
      </c>
    </row>
    <row r="1088" spans="1:2" x14ac:dyDescent="0.25">
      <c r="A1088" s="18">
        <v>466</v>
      </c>
      <c r="B1088" t="s">
        <v>1318</v>
      </c>
    </row>
    <row r="1089" spans="1:2" x14ac:dyDescent="0.25">
      <c r="A1089" s="18">
        <v>2347</v>
      </c>
      <c r="B1089" t="s">
        <v>1319</v>
      </c>
    </row>
    <row r="1090" spans="1:2" x14ac:dyDescent="0.25">
      <c r="A1090" s="18">
        <v>2407</v>
      </c>
      <c r="B1090" t="s">
        <v>1129</v>
      </c>
    </row>
    <row r="1091" spans="1:2" x14ac:dyDescent="0.25">
      <c r="A1091" s="18">
        <v>2408</v>
      </c>
      <c r="B1091" t="s">
        <v>1320</v>
      </c>
    </row>
    <row r="1092" spans="1:2" x14ac:dyDescent="0.25">
      <c r="A1092" s="18">
        <v>2420</v>
      </c>
      <c r="B1092" t="s">
        <v>1130</v>
      </c>
    </row>
    <row r="1093" spans="1:2" x14ac:dyDescent="0.25">
      <c r="A1093" s="18">
        <v>2475</v>
      </c>
      <c r="B1093" t="s">
        <v>1131</v>
      </c>
    </row>
    <row r="1094" spans="1:2" x14ac:dyDescent="0.25">
      <c r="A1094" s="18">
        <v>2693</v>
      </c>
      <c r="B1094" t="s">
        <v>1132</v>
      </c>
    </row>
    <row r="1095" spans="1:2" x14ac:dyDescent="0.25">
      <c r="A1095" s="18">
        <v>2869</v>
      </c>
      <c r="B1095" t="s">
        <v>1321</v>
      </c>
    </row>
    <row r="1096" spans="1:2" x14ac:dyDescent="0.25">
      <c r="A1096" s="18">
        <v>2870</v>
      </c>
      <c r="B1096" t="s">
        <v>1322</v>
      </c>
    </row>
    <row r="1097" spans="1:2" x14ac:dyDescent="0.25">
      <c r="A1097" s="18">
        <v>2871</v>
      </c>
      <c r="B1097" t="s">
        <v>1323</v>
      </c>
    </row>
    <row r="1098" spans="1:2" x14ac:dyDescent="0.25">
      <c r="A1098" s="18">
        <v>2886</v>
      </c>
      <c r="B1098" t="s">
        <v>1133</v>
      </c>
    </row>
    <row r="1099" spans="1:2" x14ac:dyDescent="0.25">
      <c r="A1099" s="18">
        <v>2959</v>
      </c>
      <c r="B1099" t="s">
        <v>1324</v>
      </c>
    </row>
    <row r="1100" spans="1:2" x14ac:dyDescent="0.25">
      <c r="A1100" s="18">
        <v>2960</v>
      </c>
      <c r="B1100" t="s">
        <v>1325</v>
      </c>
    </row>
    <row r="1101" spans="1:2" x14ac:dyDescent="0.25">
      <c r="A1101" s="18">
        <v>2961</v>
      </c>
      <c r="B1101" t="s">
        <v>1326</v>
      </c>
    </row>
    <row r="1102" spans="1:2" x14ac:dyDescent="0.25">
      <c r="A1102" s="18">
        <v>2989</v>
      </c>
      <c r="B1102" t="s">
        <v>803</v>
      </c>
    </row>
    <row r="1103" spans="1:2" x14ac:dyDescent="0.25">
      <c r="A1103" s="18">
        <v>500</v>
      </c>
      <c r="B1103" t="s">
        <v>1327</v>
      </c>
    </row>
    <row r="1104" spans="1:2" x14ac:dyDescent="0.25">
      <c r="A1104" s="18">
        <v>502</v>
      </c>
      <c r="B1104" t="s">
        <v>1328</v>
      </c>
    </row>
    <row r="1105" spans="1:2" x14ac:dyDescent="0.25">
      <c r="A1105" s="18">
        <v>503</v>
      </c>
      <c r="B1105" t="s">
        <v>216</v>
      </c>
    </row>
    <row r="1106" spans="1:2" x14ac:dyDescent="0.25">
      <c r="A1106" s="18">
        <v>505</v>
      </c>
      <c r="B1106" t="s">
        <v>217</v>
      </c>
    </row>
    <row r="1107" spans="1:2" x14ac:dyDescent="0.25">
      <c r="A1107" s="18">
        <v>506</v>
      </c>
      <c r="B1107" t="s">
        <v>218</v>
      </c>
    </row>
    <row r="1108" spans="1:2" x14ac:dyDescent="0.25">
      <c r="A1108" s="18">
        <v>507</v>
      </c>
      <c r="B1108" t="s">
        <v>1329</v>
      </c>
    </row>
    <row r="1109" spans="1:2" x14ac:dyDescent="0.25">
      <c r="A1109" s="18">
        <v>508</v>
      </c>
      <c r="B1109" t="s">
        <v>1330</v>
      </c>
    </row>
    <row r="1110" spans="1:2" x14ac:dyDescent="0.25">
      <c r="A1110" s="18">
        <v>509</v>
      </c>
      <c r="B1110" t="s">
        <v>881</v>
      </c>
    </row>
    <row r="1111" spans="1:2" x14ac:dyDescent="0.25">
      <c r="A1111" s="18">
        <v>510</v>
      </c>
      <c r="B1111" t="s">
        <v>1331</v>
      </c>
    </row>
    <row r="1112" spans="1:2" x14ac:dyDescent="0.25">
      <c r="A1112" s="18">
        <v>511</v>
      </c>
      <c r="B1112" t="s">
        <v>219</v>
      </c>
    </row>
    <row r="1113" spans="1:2" x14ac:dyDescent="0.25">
      <c r="A1113" s="18">
        <v>512</v>
      </c>
      <c r="B1113" t="s">
        <v>1332</v>
      </c>
    </row>
    <row r="1114" spans="1:2" x14ac:dyDescent="0.25">
      <c r="A1114" s="18">
        <v>513</v>
      </c>
      <c r="B1114" t="s">
        <v>1134</v>
      </c>
    </row>
    <row r="1115" spans="1:2" x14ac:dyDescent="0.25">
      <c r="A1115" s="18">
        <v>514</v>
      </c>
      <c r="B1115" t="s">
        <v>1332</v>
      </c>
    </row>
    <row r="1116" spans="1:2" x14ac:dyDescent="0.25">
      <c r="A1116" s="18">
        <v>516</v>
      </c>
      <c r="B1116" t="s">
        <v>1333</v>
      </c>
    </row>
    <row r="1117" spans="1:2" x14ac:dyDescent="0.25">
      <c r="A1117" s="18">
        <v>517</v>
      </c>
      <c r="B1117" t="s">
        <v>1135</v>
      </c>
    </row>
    <row r="1118" spans="1:2" x14ac:dyDescent="0.25">
      <c r="A1118" s="18">
        <v>523</v>
      </c>
      <c r="B1118" t="s">
        <v>1334</v>
      </c>
    </row>
    <row r="1119" spans="1:2" x14ac:dyDescent="0.25">
      <c r="A1119" s="18">
        <v>524</v>
      </c>
      <c r="B1119" t="s">
        <v>224</v>
      </c>
    </row>
    <row r="1120" spans="1:2" x14ac:dyDescent="0.25">
      <c r="A1120" s="18">
        <v>526</v>
      </c>
      <c r="B1120" t="s">
        <v>1335</v>
      </c>
    </row>
    <row r="1121" spans="1:2" x14ac:dyDescent="0.25">
      <c r="A1121" s="18">
        <v>527</v>
      </c>
      <c r="B1121" t="s">
        <v>225</v>
      </c>
    </row>
    <row r="1122" spans="1:2" x14ac:dyDescent="0.25">
      <c r="A1122" s="18">
        <v>528</v>
      </c>
      <c r="B1122" t="s">
        <v>1136</v>
      </c>
    </row>
    <row r="1123" spans="1:2" x14ac:dyDescent="0.25">
      <c r="A1123" s="18">
        <v>531</v>
      </c>
      <c r="B1123" t="s">
        <v>227</v>
      </c>
    </row>
    <row r="1124" spans="1:2" x14ac:dyDescent="0.25">
      <c r="A1124" s="18">
        <v>532</v>
      </c>
      <c r="B1124" t="s">
        <v>991</v>
      </c>
    </row>
    <row r="1125" spans="1:2" x14ac:dyDescent="0.25">
      <c r="A1125" s="18">
        <v>533</v>
      </c>
      <c r="B1125" t="s">
        <v>229</v>
      </c>
    </row>
    <row r="1126" spans="1:2" x14ac:dyDescent="0.25">
      <c r="A1126" s="18">
        <v>534</v>
      </c>
      <c r="B1126" t="s">
        <v>992</v>
      </c>
    </row>
    <row r="1127" spans="1:2" x14ac:dyDescent="0.25">
      <c r="A1127" s="18">
        <v>535</v>
      </c>
      <c r="B1127" t="s">
        <v>1336</v>
      </c>
    </row>
    <row r="1128" spans="1:2" x14ac:dyDescent="0.25">
      <c r="A1128" s="18">
        <v>537</v>
      </c>
      <c r="B1128" t="s">
        <v>230</v>
      </c>
    </row>
    <row r="1129" spans="1:2" x14ac:dyDescent="0.25">
      <c r="A1129" s="18">
        <v>538</v>
      </c>
      <c r="B1129" t="s">
        <v>1337</v>
      </c>
    </row>
    <row r="1130" spans="1:2" x14ac:dyDescent="0.25">
      <c r="A1130" s="18">
        <v>539</v>
      </c>
      <c r="B1130" t="s">
        <v>882</v>
      </c>
    </row>
    <row r="1131" spans="1:2" x14ac:dyDescent="0.25">
      <c r="A1131" s="18">
        <v>543</v>
      </c>
      <c r="B1131" t="s">
        <v>231</v>
      </c>
    </row>
    <row r="1132" spans="1:2" x14ac:dyDescent="0.25">
      <c r="A1132" s="18">
        <v>544</v>
      </c>
      <c r="B1132" t="s">
        <v>232</v>
      </c>
    </row>
    <row r="1133" spans="1:2" x14ac:dyDescent="0.25">
      <c r="A1133" s="18">
        <v>546</v>
      </c>
      <c r="B1133" t="s">
        <v>233</v>
      </c>
    </row>
    <row r="1134" spans="1:2" x14ac:dyDescent="0.25">
      <c r="A1134" s="18">
        <v>548</v>
      </c>
      <c r="B1134" t="s">
        <v>234</v>
      </c>
    </row>
    <row r="1135" spans="1:2" x14ac:dyDescent="0.25">
      <c r="A1135" s="18">
        <v>549</v>
      </c>
      <c r="B1135" t="s">
        <v>883</v>
      </c>
    </row>
    <row r="1136" spans="1:2" x14ac:dyDescent="0.25">
      <c r="A1136" s="18">
        <v>550</v>
      </c>
      <c r="B1136" t="s">
        <v>1137</v>
      </c>
    </row>
    <row r="1137" spans="1:2" x14ac:dyDescent="0.25">
      <c r="A1137" s="18">
        <v>553</v>
      </c>
      <c r="B1137" t="s">
        <v>1138</v>
      </c>
    </row>
    <row r="1138" spans="1:2" x14ac:dyDescent="0.25">
      <c r="A1138" s="18">
        <v>554</v>
      </c>
      <c r="B1138" t="s">
        <v>1338</v>
      </c>
    </row>
    <row r="1139" spans="1:2" x14ac:dyDescent="0.25">
      <c r="A1139" s="18">
        <v>556</v>
      </c>
      <c r="B1139" t="s">
        <v>1339</v>
      </c>
    </row>
    <row r="1140" spans="1:2" x14ac:dyDescent="0.25">
      <c r="A1140" s="18">
        <v>557</v>
      </c>
      <c r="B1140" t="s">
        <v>1340</v>
      </c>
    </row>
    <row r="1141" spans="1:2" x14ac:dyDescent="0.25">
      <c r="A1141" s="18">
        <v>559</v>
      </c>
      <c r="B1141" t="s">
        <v>1341</v>
      </c>
    </row>
    <row r="1142" spans="1:2" x14ac:dyDescent="0.25">
      <c r="A1142" s="18">
        <v>560</v>
      </c>
      <c r="B1142" t="s">
        <v>236</v>
      </c>
    </row>
    <row r="1143" spans="1:2" x14ac:dyDescent="0.25">
      <c r="A1143" s="18">
        <v>561</v>
      </c>
      <c r="B1143" t="s">
        <v>1342</v>
      </c>
    </row>
    <row r="1144" spans="1:2" x14ac:dyDescent="0.25">
      <c r="A1144" s="18">
        <v>563</v>
      </c>
      <c r="B1144" t="s">
        <v>237</v>
      </c>
    </row>
    <row r="1145" spans="1:2" x14ac:dyDescent="0.25">
      <c r="A1145" s="18">
        <v>565</v>
      </c>
      <c r="B1145" t="s">
        <v>1343</v>
      </c>
    </row>
    <row r="1146" spans="1:2" x14ac:dyDescent="0.25">
      <c r="A1146" s="18">
        <v>569</v>
      </c>
      <c r="B1146" t="s">
        <v>1139</v>
      </c>
    </row>
    <row r="1147" spans="1:2" x14ac:dyDescent="0.25">
      <c r="A1147" s="18">
        <v>572</v>
      </c>
      <c r="B1147" t="s">
        <v>239</v>
      </c>
    </row>
    <row r="1148" spans="1:2" x14ac:dyDescent="0.25">
      <c r="A1148" s="18">
        <v>573</v>
      </c>
      <c r="B1148" t="s">
        <v>1140</v>
      </c>
    </row>
    <row r="1149" spans="1:2" x14ac:dyDescent="0.25">
      <c r="A1149" s="18">
        <v>574</v>
      </c>
      <c r="B1149" t="s">
        <v>1344</v>
      </c>
    </row>
    <row r="1150" spans="1:2" x14ac:dyDescent="0.25">
      <c r="A1150" s="18">
        <v>575</v>
      </c>
      <c r="B1150" t="s">
        <v>1345</v>
      </c>
    </row>
    <row r="1151" spans="1:2" x14ac:dyDescent="0.25">
      <c r="A1151" s="18">
        <v>576</v>
      </c>
      <c r="B1151" t="s">
        <v>1346</v>
      </c>
    </row>
    <row r="1152" spans="1:2" x14ac:dyDescent="0.25">
      <c r="A1152" s="18">
        <v>577</v>
      </c>
      <c r="B1152" t="s">
        <v>1347</v>
      </c>
    </row>
    <row r="1153" spans="1:2" x14ac:dyDescent="0.25">
      <c r="A1153" s="18">
        <v>578</v>
      </c>
      <c r="B1153" t="s">
        <v>1348</v>
      </c>
    </row>
    <row r="1154" spans="1:2" x14ac:dyDescent="0.25">
      <c r="A1154" s="18">
        <v>579</v>
      </c>
      <c r="B1154" t="s">
        <v>1349</v>
      </c>
    </row>
    <row r="1155" spans="1:2" x14ac:dyDescent="0.25">
      <c r="A1155" s="18">
        <v>580</v>
      </c>
      <c r="B1155" t="s">
        <v>1350</v>
      </c>
    </row>
    <row r="1156" spans="1:2" x14ac:dyDescent="0.25">
      <c r="A1156" s="18">
        <v>581</v>
      </c>
      <c r="B1156" t="s">
        <v>1351</v>
      </c>
    </row>
    <row r="1157" spans="1:2" x14ac:dyDescent="0.25">
      <c r="A1157" s="18">
        <v>582</v>
      </c>
      <c r="B1157" t="s">
        <v>1352</v>
      </c>
    </row>
    <row r="1158" spans="1:2" x14ac:dyDescent="0.25">
      <c r="A1158" s="18">
        <v>583</v>
      </c>
      <c r="B1158" t="s">
        <v>884</v>
      </c>
    </row>
    <row r="1159" spans="1:2" x14ac:dyDescent="0.25">
      <c r="A1159" s="18">
        <v>584</v>
      </c>
      <c r="B1159" t="s">
        <v>1353</v>
      </c>
    </row>
    <row r="1160" spans="1:2" x14ac:dyDescent="0.25">
      <c r="A1160" s="18">
        <v>585</v>
      </c>
      <c r="B1160" t="s">
        <v>1354</v>
      </c>
    </row>
    <row r="1161" spans="1:2" x14ac:dyDescent="0.25">
      <c r="A1161" s="18">
        <v>587</v>
      </c>
      <c r="B1161" t="s">
        <v>885</v>
      </c>
    </row>
    <row r="1162" spans="1:2" x14ac:dyDescent="0.25">
      <c r="A1162" s="18">
        <v>589</v>
      </c>
      <c r="B1162" t="s">
        <v>886</v>
      </c>
    </row>
    <row r="1163" spans="1:2" x14ac:dyDescent="0.25">
      <c r="A1163" s="18">
        <v>590</v>
      </c>
      <c r="B1163" t="s">
        <v>241</v>
      </c>
    </row>
    <row r="1164" spans="1:2" x14ac:dyDescent="0.25">
      <c r="A1164" s="18">
        <v>592</v>
      </c>
      <c r="B1164" t="s">
        <v>243</v>
      </c>
    </row>
    <row r="1165" spans="1:2" x14ac:dyDescent="0.25">
      <c r="A1165" s="18">
        <v>594</v>
      </c>
      <c r="B1165" t="s">
        <v>1355</v>
      </c>
    </row>
    <row r="1166" spans="1:2" x14ac:dyDescent="0.25">
      <c r="A1166" s="18">
        <v>596</v>
      </c>
      <c r="B1166" t="s">
        <v>993</v>
      </c>
    </row>
    <row r="1167" spans="1:2" x14ac:dyDescent="0.25">
      <c r="A1167" s="18">
        <v>597</v>
      </c>
      <c r="B1167" t="s">
        <v>245</v>
      </c>
    </row>
    <row r="1168" spans="1:2" x14ac:dyDescent="0.25">
      <c r="A1168" s="18">
        <v>598</v>
      </c>
      <c r="B1168" t="s">
        <v>1356</v>
      </c>
    </row>
    <row r="1169" spans="1:2" x14ac:dyDescent="0.25">
      <c r="A1169" s="18">
        <v>599</v>
      </c>
      <c r="B1169" t="s">
        <v>246</v>
      </c>
    </row>
    <row r="1170" spans="1:2" x14ac:dyDescent="0.25">
      <c r="A1170" s="18">
        <v>600</v>
      </c>
      <c r="B1170" t="s">
        <v>1357</v>
      </c>
    </row>
    <row r="1171" spans="1:2" x14ac:dyDescent="0.25">
      <c r="A1171" s="18">
        <v>601</v>
      </c>
      <c r="B1171" t="s">
        <v>1358</v>
      </c>
    </row>
    <row r="1172" spans="1:2" x14ac:dyDescent="0.25">
      <c r="A1172" s="18">
        <v>602</v>
      </c>
      <c r="B1172" t="s">
        <v>1359</v>
      </c>
    </row>
    <row r="1173" spans="1:2" x14ac:dyDescent="0.25">
      <c r="A1173" s="18">
        <v>605</v>
      </c>
      <c r="B1173" t="s">
        <v>1141</v>
      </c>
    </row>
    <row r="1174" spans="1:2" x14ac:dyDescent="0.25">
      <c r="A1174" s="18">
        <v>606</v>
      </c>
      <c r="B1174" t="s">
        <v>1360</v>
      </c>
    </row>
    <row r="1175" spans="1:2" x14ac:dyDescent="0.25">
      <c r="A1175" s="18">
        <v>608</v>
      </c>
      <c r="B1175" t="s">
        <v>1361</v>
      </c>
    </row>
    <row r="1176" spans="1:2" x14ac:dyDescent="0.25">
      <c r="A1176" s="18">
        <v>610</v>
      </c>
      <c r="B1176" t="s">
        <v>248</v>
      </c>
    </row>
    <row r="1177" spans="1:2" x14ac:dyDescent="0.25">
      <c r="A1177" s="18">
        <v>611</v>
      </c>
      <c r="B1177" t="s">
        <v>249</v>
      </c>
    </row>
    <row r="1178" spans="1:2" x14ac:dyDescent="0.25">
      <c r="A1178" s="18">
        <v>612</v>
      </c>
      <c r="B1178" t="s">
        <v>1362</v>
      </c>
    </row>
    <row r="1179" spans="1:2" x14ac:dyDescent="0.25">
      <c r="A1179" s="18">
        <v>613</v>
      </c>
      <c r="B1179" t="s">
        <v>1363</v>
      </c>
    </row>
    <row r="1180" spans="1:2" x14ac:dyDescent="0.25">
      <c r="A1180" s="18">
        <v>614</v>
      </c>
      <c r="B1180" t="s">
        <v>1142</v>
      </c>
    </row>
    <row r="1181" spans="1:2" x14ac:dyDescent="0.25">
      <c r="A1181" s="18">
        <v>615</v>
      </c>
      <c r="B1181" t="s">
        <v>250</v>
      </c>
    </row>
    <row r="1182" spans="1:2" x14ac:dyDescent="0.25">
      <c r="A1182" s="18">
        <v>616</v>
      </c>
      <c r="B1182" t="s">
        <v>251</v>
      </c>
    </row>
    <row r="1183" spans="1:2" x14ac:dyDescent="0.25">
      <c r="A1183" s="18">
        <v>617</v>
      </c>
      <c r="B1183" t="s">
        <v>1364</v>
      </c>
    </row>
    <row r="1184" spans="1:2" x14ac:dyDescent="0.25">
      <c r="A1184" s="18">
        <v>618</v>
      </c>
      <c r="B1184" t="s">
        <v>994</v>
      </c>
    </row>
    <row r="1185" spans="1:2" x14ac:dyDescent="0.25">
      <c r="A1185" s="18">
        <v>620</v>
      </c>
      <c r="B1185" t="s">
        <v>252</v>
      </c>
    </row>
    <row r="1186" spans="1:2" x14ac:dyDescent="0.25">
      <c r="A1186" s="18">
        <v>621</v>
      </c>
      <c r="B1186" t="s">
        <v>887</v>
      </c>
    </row>
    <row r="1187" spans="1:2" x14ac:dyDescent="0.25">
      <c r="A1187" s="18">
        <v>622</v>
      </c>
      <c r="B1187" t="s">
        <v>254</v>
      </c>
    </row>
    <row r="1188" spans="1:2" x14ac:dyDescent="0.25">
      <c r="A1188" s="18">
        <v>623</v>
      </c>
      <c r="B1188" t="s">
        <v>1365</v>
      </c>
    </row>
    <row r="1189" spans="1:2" x14ac:dyDescent="0.25">
      <c r="A1189" s="18">
        <v>624</v>
      </c>
      <c r="B1189" t="s">
        <v>1366</v>
      </c>
    </row>
    <row r="1190" spans="1:2" x14ac:dyDescent="0.25">
      <c r="A1190" s="18">
        <v>626</v>
      </c>
      <c r="B1190" t="s">
        <v>256</v>
      </c>
    </row>
    <row r="1191" spans="1:2" x14ac:dyDescent="0.25">
      <c r="A1191" s="18">
        <v>627</v>
      </c>
      <c r="B1191" t="s">
        <v>1367</v>
      </c>
    </row>
    <row r="1192" spans="1:2" x14ac:dyDescent="0.25">
      <c r="A1192" s="18">
        <v>628</v>
      </c>
      <c r="B1192" t="s">
        <v>257</v>
      </c>
    </row>
    <row r="1193" spans="1:2" x14ac:dyDescent="0.25">
      <c r="A1193" s="18">
        <v>629</v>
      </c>
      <c r="B1193" t="s">
        <v>259</v>
      </c>
    </row>
    <row r="1194" spans="1:2" x14ac:dyDescent="0.25">
      <c r="A1194" s="18">
        <v>630</v>
      </c>
      <c r="B1194" t="s">
        <v>1368</v>
      </c>
    </row>
    <row r="1195" spans="1:2" x14ac:dyDescent="0.25">
      <c r="A1195" s="18">
        <v>631</v>
      </c>
      <c r="B1195" t="s">
        <v>261</v>
      </c>
    </row>
    <row r="1196" spans="1:2" x14ac:dyDescent="0.25">
      <c r="A1196" s="18">
        <v>633</v>
      </c>
      <c r="B1196" t="s">
        <v>263</v>
      </c>
    </row>
    <row r="1197" spans="1:2" x14ac:dyDescent="0.25">
      <c r="A1197" s="18">
        <v>634</v>
      </c>
      <c r="B1197" t="s">
        <v>265</v>
      </c>
    </row>
    <row r="1198" spans="1:2" x14ac:dyDescent="0.25">
      <c r="A1198" s="18">
        <v>635</v>
      </c>
      <c r="B1198" t="s">
        <v>266</v>
      </c>
    </row>
    <row r="1199" spans="1:2" x14ac:dyDescent="0.25">
      <c r="A1199" s="18">
        <v>636</v>
      </c>
      <c r="B1199" t="s">
        <v>1369</v>
      </c>
    </row>
    <row r="1200" spans="1:2" x14ac:dyDescent="0.25">
      <c r="A1200" s="18">
        <v>637</v>
      </c>
      <c r="B1200" t="s">
        <v>1370</v>
      </c>
    </row>
    <row r="1201" spans="1:2" x14ac:dyDescent="0.25">
      <c r="A1201" s="18">
        <v>638</v>
      </c>
      <c r="B1201" t="s">
        <v>1371</v>
      </c>
    </row>
    <row r="1202" spans="1:2" x14ac:dyDescent="0.25">
      <c r="A1202" s="18">
        <v>639</v>
      </c>
      <c r="B1202" t="s">
        <v>1372</v>
      </c>
    </row>
    <row r="1203" spans="1:2" x14ac:dyDescent="0.25">
      <c r="A1203" s="18">
        <v>642</v>
      </c>
      <c r="B1203" t="s">
        <v>268</v>
      </c>
    </row>
    <row r="1204" spans="1:2" x14ac:dyDescent="0.25">
      <c r="A1204" s="18">
        <v>643</v>
      </c>
      <c r="B1204" t="s">
        <v>995</v>
      </c>
    </row>
    <row r="1205" spans="1:2" x14ac:dyDescent="0.25">
      <c r="A1205" s="18">
        <v>644</v>
      </c>
      <c r="B1205" t="s">
        <v>1373</v>
      </c>
    </row>
    <row r="1206" spans="1:2" x14ac:dyDescent="0.25">
      <c r="A1206" s="18">
        <v>645</v>
      </c>
      <c r="B1206" t="s">
        <v>269</v>
      </c>
    </row>
    <row r="1207" spans="1:2" x14ac:dyDescent="0.25">
      <c r="A1207" s="18">
        <v>646</v>
      </c>
      <c r="B1207" t="s">
        <v>1374</v>
      </c>
    </row>
    <row r="1208" spans="1:2" x14ac:dyDescent="0.25">
      <c r="A1208" s="18">
        <v>647</v>
      </c>
      <c r="B1208" t="s">
        <v>270</v>
      </c>
    </row>
    <row r="1209" spans="1:2" x14ac:dyDescent="0.25">
      <c r="A1209" s="18">
        <v>649</v>
      </c>
      <c r="B1209" t="s">
        <v>996</v>
      </c>
    </row>
    <row r="1210" spans="1:2" x14ac:dyDescent="0.25">
      <c r="A1210" s="18">
        <v>653</v>
      </c>
      <c r="B1210" t="s">
        <v>271</v>
      </c>
    </row>
    <row r="1211" spans="1:2" x14ac:dyDescent="0.25">
      <c r="A1211" s="18">
        <v>655</v>
      </c>
      <c r="B1211" t="s">
        <v>1375</v>
      </c>
    </row>
    <row r="1212" spans="1:2" x14ac:dyDescent="0.25">
      <c r="A1212" s="18">
        <v>656</v>
      </c>
      <c r="B1212" t="s">
        <v>1376</v>
      </c>
    </row>
    <row r="1213" spans="1:2" x14ac:dyDescent="0.25">
      <c r="A1213" s="18">
        <v>658</v>
      </c>
      <c r="B1213" t="s">
        <v>273</v>
      </c>
    </row>
    <row r="1214" spans="1:2" x14ac:dyDescent="0.25">
      <c r="A1214" s="18">
        <v>659</v>
      </c>
      <c r="B1214" t="s">
        <v>1377</v>
      </c>
    </row>
    <row r="1215" spans="1:2" x14ac:dyDescent="0.25">
      <c r="A1215" s="18">
        <v>660</v>
      </c>
      <c r="B1215" t="s">
        <v>1378</v>
      </c>
    </row>
    <row r="1216" spans="1:2" x14ac:dyDescent="0.25">
      <c r="A1216" s="18">
        <v>661</v>
      </c>
      <c r="B1216" t="s">
        <v>1143</v>
      </c>
    </row>
    <row r="1217" spans="1:2" x14ac:dyDescent="0.25">
      <c r="A1217" s="18">
        <v>662</v>
      </c>
      <c r="B1217" t="s">
        <v>1379</v>
      </c>
    </row>
    <row r="1218" spans="1:2" x14ac:dyDescent="0.25">
      <c r="A1218" s="18">
        <v>663</v>
      </c>
      <c r="B1218" t="s">
        <v>275</v>
      </c>
    </row>
    <row r="1219" spans="1:2" x14ac:dyDescent="0.25">
      <c r="A1219" s="18">
        <v>664</v>
      </c>
      <c r="B1219" t="s">
        <v>276</v>
      </c>
    </row>
    <row r="1220" spans="1:2" x14ac:dyDescent="0.25">
      <c r="A1220" s="18">
        <v>665</v>
      </c>
      <c r="B1220" t="s">
        <v>1380</v>
      </c>
    </row>
    <row r="1221" spans="1:2" x14ac:dyDescent="0.25">
      <c r="A1221" s="18">
        <v>669</v>
      </c>
      <c r="B1221" t="s">
        <v>1381</v>
      </c>
    </row>
    <row r="1222" spans="1:2" x14ac:dyDescent="0.25">
      <c r="A1222" s="18">
        <v>671</v>
      </c>
      <c r="B1222" t="s">
        <v>1382</v>
      </c>
    </row>
    <row r="1223" spans="1:2" x14ac:dyDescent="0.25">
      <c r="A1223" s="18">
        <v>672</v>
      </c>
      <c r="B1223" t="s">
        <v>1383</v>
      </c>
    </row>
    <row r="1224" spans="1:2" x14ac:dyDescent="0.25">
      <c r="A1224" s="18">
        <v>673</v>
      </c>
      <c r="B1224" t="s">
        <v>1384</v>
      </c>
    </row>
    <row r="1225" spans="1:2" x14ac:dyDescent="0.25">
      <c r="A1225" s="18">
        <v>675</v>
      </c>
      <c r="B1225" t="s">
        <v>1385</v>
      </c>
    </row>
    <row r="1226" spans="1:2" x14ac:dyDescent="0.25">
      <c r="A1226" s="18">
        <v>677</v>
      </c>
      <c r="B1226" t="s">
        <v>888</v>
      </c>
    </row>
    <row r="1227" spans="1:2" x14ac:dyDescent="0.25">
      <c r="A1227" s="18">
        <v>678</v>
      </c>
      <c r="B1227" t="s">
        <v>278</v>
      </c>
    </row>
    <row r="1228" spans="1:2" x14ac:dyDescent="0.25">
      <c r="A1228" s="18">
        <v>679</v>
      </c>
      <c r="B1228" t="s">
        <v>1144</v>
      </c>
    </row>
    <row r="1229" spans="1:2" x14ac:dyDescent="0.25">
      <c r="A1229" s="18">
        <v>680</v>
      </c>
      <c r="B1229" t="s">
        <v>1386</v>
      </c>
    </row>
    <row r="1230" spans="1:2" x14ac:dyDescent="0.25">
      <c r="A1230" s="18">
        <v>681</v>
      </c>
      <c r="B1230" t="s">
        <v>1387</v>
      </c>
    </row>
    <row r="1231" spans="1:2" x14ac:dyDescent="0.25">
      <c r="A1231" s="18">
        <v>682</v>
      </c>
      <c r="B1231" t="s">
        <v>279</v>
      </c>
    </row>
    <row r="1232" spans="1:2" x14ac:dyDescent="0.25">
      <c r="A1232" s="18">
        <v>683</v>
      </c>
      <c r="B1232" t="s">
        <v>1145</v>
      </c>
    </row>
    <row r="1233" spans="1:2" x14ac:dyDescent="0.25">
      <c r="A1233" s="18">
        <v>684</v>
      </c>
      <c r="B1233" t="s">
        <v>1388</v>
      </c>
    </row>
    <row r="1234" spans="1:2" x14ac:dyDescent="0.25">
      <c r="A1234" s="18">
        <v>686</v>
      </c>
      <c r="B1234" t="s">
        <v>1389</v>
      </c>
    </row>
    <row r="1235" spans="1:2" x14ac:dyDescent="0.25">
      <c r="A1235" s="18">
        <v>689</v>
      </c>
      <c r="B1235" t="s">
        <v>280</v>
      </c>
    </row>
    <row r="1236" spans="1:2" x14ac:dyDescent="0.25">
      <c r="A1236" s="18">
        <v>691</v>
      </c>
      <c r="B1236" t="s">
        <v>1390</v>
      </c>
    </row>
    <row r="1237" spans="1:2" x14ac:dyDescent="0.25">
      <c r="A1237" s="18">
        <v>692</v>
      </c>
      <c r="B1237" t="s">
        <v>889</v>
      </c>
    </row>
    <row r="1238" spans="1:2" x14ac:dyDescent="0.25">
      <c r="A1238" s="18">
        <v>694</v>
      </c>
      <c r="B1238" t="s">
        <v>281</v>
      </c>
    </row>
    <row r="1239" spans="1:2" x14ac:dyDescent="0.25">
      <c r="A1239" s="18">
        <v>695</v>
      </c>
      <c r="B1239" t="s">
        <v>282</v>
      </c>
    </row>
    <row r="1240" spans="1:2" x14ac:dyDescent="0.25">
      <c r="A1240" s="18">
        <v>696</v>
      </c>
      <c r="B1240" t="s">
        <v>1391</v>
      </c>
    </row>
    <row r="1241" spans="1:2" x14ac:dyDescent="0.25">
      <c r="A1241" s="18">
        <v>697</v>
      </c>
      <c r="B1241" t="s">
        <v>1392</v>
      </c>
    </row>
    <row r="1242" spans="1:2" x14ac:dyDescent="0.25">
      <c r="A1242" s="18">
        <v>698</v>
      </c>
      <c r="B1242" t="s">
        <v>1393</v>
      </c>
    </row>
    <row r="1243" spans="1:2" x14ac:dyDescent="0.25">
      <c r="A1243" s="18">
        <v>699</v>
      </c>
      <c r="B1243" t="s">
        <v>283</v>
      </c>
    </row>
    <row r="1244" spans="1:2" x14ac:dyDescent="0.25">
      <c r="A1244" s="18">
        <v>702</v>
      </c>
      <c r="B1244" t="s">
        <v>284</v>
      </c>
    </row>
    <row r="1245" spans="1:2" x14ac:dyDescent="0.25">
      <c r="A1245" s="18">
        <v>704</v>
      </c>
      <c r="B1245" t="s">
        <v>890</v>
      </c>
    </row>
    <row r="1246" spans="1:2" x14ac:dyDescent="0.25">
      <c r="A1246" s="18">
        <v>706</v>
      </c>
      <c r="B1246" t="s">
        <v>1394</v>
      </c>
    </row>
    <row r="1247" spans="1:2" x14ac:dyDescent="0.25">
      <c r="A1247" s="18">
        <v>707</v>
      </c>
      <c r="B1247" t="s">
        <v>285</v>
      </c>
    </row>
    <row r="1248" spans="1:2" x14ac:dyDescent="0.25">
      <c r="A1248" s="18">
        <v>708</v>
      </c>
      <c r="B1248" t="s">
        <v>286</v>
      </c>
    </row>
    <row r="1249" spans="1:2" x14ac:dyDescent="0.25">
      <c r="A1249" s="18">
        <v>709</v>
      </c>
      <c r="B1249" t="s">
        <v>997</v>
      </c>
    </row>
    <row r="1250" spans="1:2" x14ac:dyDescent="0.25">
      <c r="A1250" s="18">
        <v>713</v>
      </c>
      <c r="B1250" t="s">
        <v>1146</v>
      </c>
    </row>
    <row r="1251" spans="1:2" x14ac:dyDescent="0.25">
      <c r="A1251" s="18">
        <v>723</v>
      </c>
      <c r="B1251" t="s">
        <v>1147</v>
      </c>
    </row>
    <row r="1252" spans="1:2" x14ac:dyDescent="0.25">
      <c r="A1252" s="18">
        <v>740</v>
      </c>
      <c r="B1252" t="s">
        <v>1148</v>
      </c>
    </row>
    <row r="1253" spans="1:2" x14ac:dyDescent="0.25">
      <c r="A1253" s="18">
        <v>752</v>
      </c>
      <c r="B1253" t="s">
        <v>288</v>
      </c>
    </row>
    <row r="1254" spans="1:2" x14ac:dyDescent="0.25">
      <c r="A1254" s="18">
        <v>755</v>
      </c>
      <c r="B1254" t="s">
        <v>289</v>
      </c>
    </row>
    <row r="1255" spans="1:2" x14ac:dyDescent="0.25">
      <c r="A1255" s="18">
        <v>763</v>
      </c>
      <c r="B1255" t="s">
        <v>1395</v>
      </c>
    </row>
    <row r="1256" spans="1:2" x14ac:dyDescent="0.25">
      <c r="A1256" s="18">
        <v>767</v>
      </c>
      <c r="B1256" t="s">
        <v>1396</v>
      </c>
    </row>
    <row r="1257" spans="1:2" x14ac:dyDescent="0.25">
      <c r="A1257" s="18">
        <v>771</v>
      </c>
      <c r="B1257" t="s">
        <v>291</v>
      </c>
    </row>
    <row r="1258" spans="1:2" x14ac:dyDescent="0.25">
      <c r="A1258" s="18">
        <v>774</v>
      </c>
      <c r="B1258" t="s">
        <v>1397</v>
      </c>
    </row>
    <row r="1259" spans="1:2" x14ac:dyDescent="0.25">
      <c r="A1259" s="18">
        <v>778</v>
      </c>
      <c r="B1259" t="s">
        <v>1398</v>
      </c>
    </row>
    <row r="1260" spans="1:2" x14ac:dyDescent="0.25">
      <c r="A1260" s="18">
        <v>779</v>
      </c>
      <c r="B1260" t="s">
        <v>293</v>
      </c>
    </row>
    <row r="1261" spans="1:2" x14ac:dyDescent="0.25">
      <c r="A1261" s="18">
        <v>780</v>
      </c>
      <c r="B1261" t="s">
        <v>1399</v>
      </c>
    </row>
    <row r="1262" spans="1:2" x14ac:dyDescent="0.25">
      <c r="A1262" s="18">
        <v>782</v>
      </c>
      <c r="B1262" t="s">
        <v>1400</v>
      </c>
    </row>
    <row r="1263" spans="1:2" x14ac:dyDescent="0.25">
      <c r="A1263" s="18">
        <v>787</v>
      </c>
      <c r="B1263" t="s">
        <v>1149</v>
      </c>
    </row>
    <row r="1264" spans="1:2" x14ac:dyDescent="0.25">
      <c r="A1264" s="18">
        <v>788</v>
      </c>
      <c r="B1264" t="s">
        <v>1150</v>
      </c>
    </row>
    <row r="1265" spans="1:2" x14ac:dyDescent="0.25">
      <c r="A1265" s="18">
        <v>789</v>
      </c>
      <c r="B1265" t="s">
        <v>1151</v>
      </c>
    </row>
    <row r="1266" spans="1:2" x14ac:dyDescent="0.25">
      <c r="A1266" s="18">
        <v>791</v>
      </c>
      <c r="B1266" t="s">
        <v>1401</v>
      </c>
    </row>
    <row r="1267" spans="1:2" x14ac:dyDescent="0.25">
      <c r="A1267" s="18">
        <v>792</v>
      </c>
      <c r="B1267" t="s">
        <v>295</v>
      </c>
    </row>
    <row r="1268" spans="1:2" x14ac:dyDescent="0.25">
      <c r="A1268" s="18">
        <v>794</v>
      </c>
      <c r="B1268" t="s">
        <v>297</v>
      </c>
    </row>
    <row r="1269" spans="1:2" x14ac:dyDescent="0.25">
      <c r="A1269" s="18">
        <v>795</v>
      </c>
      <c r="B1269" t="s">
        <v>1402</v>
      </c>
    </row>
    <row r="1270" spans="1:2" x14ac:dyDescent="0.25">
      <c r="A1270" s="18">
        <v>796</v>
      </c>
      <c r="B1270" t="s">
        <v>1403</v>
      </c>
    </row>
    <row r="1271" spans="1:2" x14ac:dyDescent="0.25">
      <c r="A1271" s="18">
        <v>797</v>
      </c>
      <c r="B1271" t="s">
        <v>299</v>
      </c>
    </row>
    <row r="1272" spans="1:2" x14ac:dyDescent="0.25">
      <c r="A1272" s="18">
        <v>799</v>
      </c>
      <c r="B1272" t="s">
        <v>1404</v>
      </c>
    </row>
    <row r="1273" spans="1:2" x14ac:dyDescent="0.25">
      <c r="A1273" s="18">
        <v>2253</v>
      </c>
      <c r="B1273" t="s">
        <v>1152</v>
      </c>
    </row>
    <row r="1274" spans="1:2" x14ac:dyDescent="0.25">
      <c r="A1274" s="18">
        <v>2263</v>
      </c>
      <c r="B1274" t="s">
        <v>1405</v>
      </c>
    </row>
    <row r="1275" spans="1:2" x14ac:dyDescent="0.25">
      <c r="A1275" s="18">
        <v>2264</v>
      </c>
      <c r="B1275" t="s">
        <v>1406</v>
      </c>
    </row>
    <row r="1276" spans="1:2" x14ac:dyDescent="0.25">
      <c r="A1276" s="18">
        <v>2266</v>
      </c>
      <c r="B1276" t="s">
        <v>1407</v>
      </c>
    </row>
    <row r="1277" spans="1:2" x14ac:dyDescent="0.25">
      <c r="A1277" s="18">
        <v>2285</v>
      </c>
      <c r="B1277" t="s">
        <v>1408</v>
      </c>
    </row>
    <row r="1278" spans="1:2" x14ac:dyDescent="0.25">
      <c r="A1278" s="18">
        <v>2350</v>
      </c>
      <c r="B1278" t="s">
        <v>680</v>
      </c>
    </row>
    <row r="1279" spans="1:2" x14ac:dyDescent="0.25">
      <c r="A1279" s="18">
        <v>2352</v>
      </c>
      <c r="B1279" t="s">
        <v>682</v>
      </c>
    </row>
    <row r="1280" spans="1:2" x14ac:dyDescent="0.25">
      <c r="A1280" s="18">
        <v>2353</v>
      </c>
      <c r="B1280" t="s">
        <v>1153</v>
      </c>
    </row>
    <row r="1281" spans="1:2" x14ac:dyDescent="0.25">
      <c r="A1281" s="18">
        <v>2373</v>
      </c>
      <c r="B1281" t="s">
        <v>1154</v>
      </c>
    </row>
    <row r="1282" spans="1:2" x14ac:dyDescent="0.25">
      <c r="A1282" s="18">
        <v>2390</v>
      </c>
      <c r="B1282" t="s">
        <v>687</v>
      </c>
    </row>
    <row r="1283" spans="1:2" x14ac:dyDescent="0.25">
      <c r="A1283" s="18">
        <v>2393</v>
      </c>
      <c r="B1283" t="s">
        <v>1013</v>
      </c>
    </row>
    <row r="1284" spans="1:2" x14ac:dyDescent="0.25">
      <c r="A1284" s="18">
        <v>2433</v>
      </c>
      <c r="B1284" t="s">
        <v>1409</v>
      </c>
    </row>
    <row r="1285" spans="1:2" x14ac:dyDescent="0.25">
      <c r="A1285" s="18">
        <v>2459</v>
      </c>
      <c r="B1285" t="s">
        <v>1410</v>
      </c>
    </row>
    <row r="1286" spans="1:2" x14ac:dyDescent="0.25">
      <c r="A1286" s="18">
        <v>2462</v>
      </c>
      <c r="B1286" t="s">
        <v>1155</v>
      </c>
    </row>
    <row r="1287" spans="1:2" x14ac:dyDescent="0.25">
      <c r="A1287" s="18">
        <v>2470</v>
      </c>
      <c r="B1287" t="s">
        <v>702</v>
      </c>
    </row>
    <row r="1288" spans="1:2" x14ac:dyDescent="0.25">
      <c r="A1288" s="18">
        <v>2471</v>
      </c>
      <c r="B1288" t="s">
        <v>703</v>
      </c>
    </row>
    <row r="1289" spans="1:2" x14ac:dyDescent="0.25">
      <c r="A1289" s="18">
        <v>2485</v>
      </c>
      <c r="B1289" t="s">
        <v>706</v>
      </c>
    </row>
    <row r="1290" spans="1:2" x14ac:dyDescent="0.25">
      <c r="A1290" s="18">
        <v>2492</v>
      </c>
      <c r="B1290" t="s">
        <v>708</v>
      </c>
    </row>
    <row r="1291" spans="1:2" x14ac:dyDescent="0.25">
      <c r="A1291" s="18">
        <v>2518</v>
      </c>
      <c r="B1291" t="s">
        <v>1156</v>
      </c>
    </row>
    <row r="1292" spans="1:2" x14ac:dyDescent="0.25">
      <c r="A1292" s="18">
        <v>2519</v>
      </c>
      <c r="B1292" t="s">
        <v>1157</v>
      </c>
    </row>
    <row r="1293" spans="1:2" x14ac:dyDescent="0.25">
      <c r="A1293" s="18">
        <v>2521</v>
      </c>
      <c r="B1293" t="s">
        <v>1158</v>
      </c>
    </row>
    <row r="1294" spans="1:2" x14ac:dyDescent="0.25">
      <c r="A1294" s="18">
        <v>2525</v>
      </c>
      <c r="B1294" t="s">
        <v>1411</v>
      </c>
    </row>
    <row r="1295" spans="1:2" x14ac:dyDescent="0.25">
      <c r="A1295" s="18">
        <v>2527</v>
      </c>
      <c r="B1295" t="s">
        <v>1412</v>
      </c>
    </row>
    <row r="1296" spans="1:2" x14ac:dyDescent="0.25">
      <c r="A1296" s="18">
        <v>2539</v>
      </c>
      <c r="B1296" t="s">
        <v>1413</v>
      </c>
    </row>
    <row r="1297" spans="1:2" x14ac:dyDescent="0.25">
      <c r="A1297" s="18">
        <v>2563</v>
      </c>
      <c r="B1297" t="s">
        <v>1414</v>
      </c>
    </row>
    <row r="1298" spans="1:2" x14ac:dyDescent="0.25">
      <c r="A1298" s="18">
        <v>2564</v>
      </c>
      <c r="B1298" t="s">
        <v>1159</v>
      </c>
    </row>
    <row r="1299" spans="1:2" x14ac:dyDescent="0.25">
      <c r="A1299" s="18">
        <v>2565</v>
      </c>
      <c r="B1299" t="s">
        <v>1160</v>
      </c>
    </row>
    <row r="1300" spans="1:2" x14ac:dyDescent="0.25">
      <c r="A1300" s="18">
        <v>2567</v>
      </c>
      <c r="B1300" t="s">
        <v>1161</v>
      </c>
    </row>
    <row r="1301" spans="1:2" x14ac:dyDescent="0.25">
      <c r="A1301" s="18">
        <v>2568</v>
      </c>
      <c r="B1301" t="s">
        <v>1162</v>
      </c>
    </row>
    <row r="1302" spans="1:2" x14ac:dyDescent="0.25">
      <c r="A1302" s="18">
        <v>2591</v>
      </c>
      <c r="B1302" t="s">
        <v>1415</v>
      </c>
    </row>
    <row r="1303" spans="1:2" x14ac:dyDescent="0.25">
      <c r="A1303" s="18">
        <v>2592</v>
      </c>
      <c r="B1303" t="s">
        <v>1163</v>
      </c>
    </row>
    <row r="1304" spans="1:2" x14ac:dyDescent="0.25">
      <c r="A1304" s="18">
        <v>2601</v>
      </c>
      <c r="B1304" t="s">
        <v>1416</v>
      </c>
    </row>
    <row r="1305" spans="1:2" x14ac:dyDescent="0.25">
      <c r="A1305" s="18">
        <v>2609</v>
      </c>
      <c r="B1305" t="s">
        <v>1417</v>
      </c>
    </row>
    <row r="1306" spans="1:2" x14ac:dyDescent="0.25">
      <c r="A1306" s="18">
        <v>2616</v>
      </c>
      <c r="B1306" t="s">
        <v>1418</v>
      </c>
    </row>
    <row r="1307" spans="1:2" x14ac:dyDescent="0.25">
      <c r="A1307" s="18">
        <v>2617</v>
      </c>
      <c r="B1307" t="s">
        <v>1419</v>
      </c>
    </row>
    <row r="1308" spans="1:2" x14ac:dyDescent="0.25">
      <c r="A1308" s="18">
        <v>2618</v>
      </c>
      <c r="B1308" t="s">
        <v>716</v>
      </c>
    </row>
    <row r="1309" spans="1:2" x14ac:dyDescent="0.25">
      <c r="A1309" s="18">
        <v>2619</v>
      </c>
      <c r="B1309" t="s">
        <v>1164</v>
      </c>
    </row>
    <row r="1310" spans="1:2" x14ac:dyDescent="0.25">
      <c r="A1310" s="18">
        <v>2620</v>
      </c>
      <c r="B1310" t="s">
        <v>1165</v>
      </c>
    </row>
    <row r="1311" spans="1:2" x14ac:dyDescent="0.25">
      <c r="A1311" s="18">
        <v>2621</v>
      </c>
      <c r="B1311" t="s">
        <v>1420</v>
      </c>
    </row>
    <row r="1312" spans="1:2" x14ac:dyDescent="0.25">
      <c r="A1312" s="18">
        <v>2622</v>
      </c>
      <c r="B1312" t="s">
        <v>1015</v>
      </c>
    </row>
    <row r="1313" spans="1:2" x14ac:dyDescent="0.25">
      <c r="A1313" s="18">
        <v>2623</v>
      </c>
      <c r="B1313" t="s">
        <v>1166</v>
      </c>
    </row>
    <row r="1314" spans="1:2" x14ac:dyDescent="0.25">
      <c r="A1314" s="18">
        <v>2624</v>
      </c>
      <c r="B1314" t="s">
        <v>1167</v>
      </c>
    </row>
    <row r="1315" spans="1:2" x14ac:dyDescent="0.25">
      <c r="A1315" s="18">
        <v>2681</v>
      </c>
      <c r="B1315" t="s">
        <v>724</v>
      </c>
    </row>
    <row r="1316" spans="1:2" x14ac:dyDescent="0.25">
      <c r="A1316" s="18">
        <v>2700</v>
      </c>
      <c r="B1316" t="s">
        <v>1421</v>
      </c>
    </row>
    <row r="1317" spans="1:2" x14ac:dyDescent="0.25">
      <c r="A1317" s="18">
        <v>2701</v>
      </c>
      <c r="B1317" t="s">
        <v>1422</v>
      </c>
    </row>
    <row r="1318" spans="1:2" x14ac:dyDescent="0.25">
      <c r="A1318" s="18">
        <v>2713</v>
      </c>
      <c r="B1318" t="s">
        <v>1423</v>
      </c>
    </row>
    <row r="1319" spans="1:2" x14ac:dyDescent="0.25">
      <c r="A1319" s="18">
        <v>2717</v>
      </c>
      <c r="B1319" t="s">
        <v>1424</v>
      </c>
    </row>
    <row r="1320" spans="1:2" x14ac:dyDescent="0.25">
      <c r="A1320" s="18">
        <v>2720</v>
      </c>
      <c r="B1320" t="s">
        <v>1168</v>
      </c>
    </row>
    <row r="1321" spans="1:2" x14ac:dyDescent="0.25">
      <c r="A1321" s="18">
        <v>2721</v>
      </c>
      <c r="B1321" t="s">
        <v>1425</v>
      </c>
    </row>
    <row r="1322" spans="1:2" x14ac:dyDescent="0.25">
      <c r="A1322" s="18">
        <v>2722</v>
      </c>
      <c r="B1322" t="s">
        <v>731</v>
      </c>
    </row>
    <row r="1323" spans="1:2" x14ac:dyDescent="0.25">
      <c r="A1323" s="18">
        <v>2771</v>
      </c>
      <c r="B1323" t="s">
        <v>745</v>
      </c>
    </row>
    <row r="1324" spans="1:2" x14ac:dyDescent="0.25">
      <c r="A1324" s="18">
        <v>2783</v>
      </c>
      <c r="B1324" t="s">
        <v>749</v>
      </c>
    </row>
    <row r="1325" spans="1:2" x14ac:dyDescent="0.25">
      <c r="A1325" s="18">
        <v>2784</v>
      </c>
      <c r="B1325" t="s">
        <v>1426</v>
      </c>
    </row>
    <row r="1326" spans="1:2" x14ac:dyDescent="0.25">
      <c r="A1326" s="18">
        <v>2802</v>
      </c>
      <c r="B1326" t="s">
        <v>1427</v>
      </c>
    </row>
    <row r="1327" spans="1:2" x14ac:dyDescent="0.25">
      <c r="A1327" s="18">
        <v>2813</v>
      </c>
      <c r="B1327" t="s">
        <v>755</v>
      </c>
    </row>
    <row r="1328" spans="1:2" x14ac:dyDescent="0.25">
      <c r="A1328" s="18">
        <v>2814</v>
      </c>
      <c r="B1328" t="s">
        <v>1428</v>
      </c>
    </row>
    <row r="1329" spans="1:2" x14ac:dyDescent="0.25">
      <c r="A1329" s="18">
        <v>2882</v>
      </c>
      <c r="B1329" t="s">
        <v>767</v>
      </c>
    </row>
    <row r="1330" spans="1:2" x14ac:dyDescent="0.25">
      <c r="A1330" s="18">
        <v>2885</v>
      </c>
      <c r="B1330" t="s">
        <v>1429</v>
      </c>
    </row>
    <row r="1331" spans="1:2" x14ac:dyDescent="0.25">
      <c r="A1331" s="18">
        <v>2890</v>
      </c>
      <c r="B1331" t="s">
        <v>770</v>
      </c>
    </row>
    <row r="1332" spans="1:2" x14ac:dyDescent="0.25">
      <c r="A1332" s="18">
        <v>2892</v>
      </c>
      <c r="B1332" t="s">
        <v>911</v>
      </c>
    </row>
    <row r="1333" spans="1:2" x14ac:dyDescent="0.25">
      <c r="A1333" s="18">
        <v>2909</v>
      </c>
      <c r="B1333" t="s">
        <v>912</v>
      </c>
    </row>
    <row r="1334" spans="1:2" x14ac:dyDescent="0.25">
      <c r="A1334" s="18">
        <v>2910</v>
      </c>
      <c r="B1334" t="s">
        <v>1430</v>
      </c>
    </row>
    <row r="1335" spans="1:2" x14ac:dyDescent="0.25">
      <c r="A1335" s="18">
        <v>2911</v>
      </c>
      <c r="B1335" t="s">
        <v>1431</v>
      </c>
    </row>
    <row r="1336" spans="1:2" x14ac:dyDescent="0.25">
      <c r="A1336" s="18">
        <v>2927</v>
      </c>
      <c r="B1336" t="s">
        <v>1019</v>
      </c>
    </row>
    <row r="1337" spans="1:2" x14ac:dyDescent="0.25">
      <c r="A1337" s="18">
        <v>2931</v>
      </c>
      <c r="B1337" t="s">
        <v>1432</v>
      </c>
    </row>
    <row r="1338" spans="1:2" x14ac:dyDescent="0.25">
      <c r="A1338" s="18">
        <v>2966</v>
      </c>
      <c r="B1338" t="s">
        <v>1433</v>
      </c>
    </row>
    <row r="1339" spans="1:2" x14ac:dyDescent="0.25">
      <c r="A1339" s="18">
        <v>2967</v>
      </c>
      <c r="B1339" t="s">
        <v>1434</v>
      </c>
    </row>
    <row r="1340" spans="1:2" x14ac:dyDescent="0.25">
      <c r="A1340" s="18">
        <v>2968</v>
      </c>
      <c r="B1340" t="s">
        <v>1435</v>
      </c>
    </row>
    <row r="1341" spans="1:2" x14ac:dyDescent="0.25">
      <c r="A1341" s="18">
        <v>3004</v>
      </c>
      <c r="B1341" t="s">
        <v>1436</v>
      </c>
    </row>
    <row r="1342" spans="1:2" x14ac:dyDescent="0.25">
      <c r="A1342" s="18">
        <v>3005</v>
      </c>
      <c r="B1342" t="s">
        <v>1437</v>
      </c>
    </row>
    <row r="1343" spans="1:2" x14ac:dyDescent="0.25">
      <c r="A1343" s="18">
        <v>3006</v>
      </c>
      <c r="B1343" t="s">
        <v>1438</v>
      </c>
    </row>
    <row r="1344" spans="1:2" x14ac:dyDescent="0.25">
      <c r="A1344" s="18">
        <v>3007</v>
      </c>
      <c r="B1344" t="s">
        <v>1439</v>
      </c>
    </row>
    <row r="1345" spans="1:2" x14ac:dyDescent="0.25">
      <c r="A1345" s="18">
        <v>3008</v>
      </c>
      <c r="B1345" t="s">
        <v>1440</v>
      </c>
    </row>
    <row r="1346" spans="1:2" x14ac:dyDescent="0.25">
      <c r="A1346" s="18">
        <v>3009</v>
      </c>
      <c r="B1346" t="s">
        <v>1441</v>
      </c>
    </row>
    <row r="1347" spans="1:2" x14ac:dyDescent="0.25">
      <c r="A1347" s="18">
        <v>3010</v>
      </c>
      <c r="B1347" t="s">
        <v>1442</v>
      </c>
    </row>
    <row r="1348" spans="1:2" x14ac:dyDescent="0.25">
      <c r="A1348" s="18">
        <v>3011</v>
      </c>
      <c r="B1348" t="s">
        <v>1443</v>
      </c>
    </row>
    <row r="1349" spans="1:2" x14ac:dyDescent="0.25">
      <c r="A1349" s="18">
        <v>3012</v>
      </c>
      <c r="B1349" t="s">
        <v>1444</v>
      </c>
    </row>
    <row r="1350" spans="1:2" x14ac:dyDescent="0.25">
      <c r="A1350" s="18">
        <v>3013</v>
      </c>
      <c r="B1350" t="s">
        <v>1445</v>
      </c>
    </row>
    <row r="1351" spans="1:2" x14ac:dyDescent="0.25">
      <c r="A1351" s="18">
        <v>3014</v>
      </c>
      <c r="B1351" t="s">
        <v>1446</v>
      </c>
    </row>
    <row r="1352" spans="1:2" x14ac:dyDescent="0.25">
      <c r="A1352" s="18">
        <v>3015</v>
      </c>
      <c r="B1352" t="s">
        <v>1022</v>
      </c>
    </row>
    <row r="1353" spans="1:2" x14ac:dyDescent="0.25">
      <c r="A1353" s="18">
        <v>3016</v>
      </c>
      <c r="B1353" t="s">
        <v>1447</v>
      </c>
    </row>
    <row r="1354" spans="1:2" x14ac:dyDescent="0.25">
      <c r="A1354" s="18">
        <v>3017</v>
      </c>
      <c r="B1354" t="s">
        <v>913</v>
      </c>
    </row>
    <row r="1355" spans="1:2" x14ac:dyDescent="0.25">
      <c r="A1355" s="18">
        <v>3018</v>
      </c>
      <c r="B1355" t="s">
        <v>1448</v>
      </c>
    </row>
    <row r="1356" spans="1:2" x14ac:dyDescent="0.25">
      <c r="A1356" s="18">
        <v>3019</v>
      </c>
      <c r="B1356" t="s">
        <v>1449</v>
      </c>
    </row>
    <row r="1357" spans="1:2" x14ac:dyDescent="0.25">
      <c r="A1357" s="18">
        <v>3020</v>
      </c>
      <c r="B1357" t="s">
        <v>1450</v>
      </c>
    </row>
    <row r="1358" spans="1:2" x14ac:dyDescent="0.25">
      <c r="A1358" s="18">
        <v>3021</v>
      </c>
      <c r="B1358" t="s">
        <v>1451</v>
      </c>
    </row>
    <row r="1359" spans="1:2" x14ac:dyDescent="0.25">
      <c r="A1359" s="18">
        <v>3022</v>
      </c>
      <c r="B1359" t="s">
        <v>1452</v>
      </c>
    </row>
    <row r="1360" spans="1:2" x14ac:dyDescent="0.25">
      <c r="A1360" s="18">
        <v>3023</v>
      </c>
      <c r="B1360" t="s">
        <v>1453</v>
      </c>
    </row>
    <row r="1361" spans="1:2" x14ac:dyDescent="0.25">
      <c r="A1361" s="18">
        <v>3024</v>
      </c>
      <c r="B1361" t="s">
        <v>1454</v>
      </c>
    </row>
    <row r="1362" spans="1:2" x14ac:dyDescent="0.25">
      <c r="A1362" s="18">
        <v>3025</v>
      </c>
      <c r="B1362" t="s">
        <v>1455</v>
      </c>
    </row>
    <row r="1363" spans="1:2" x14ac:dyDescent="0.25">
      <c r="A1363" s="18">
        <v>3026</v>
      </c>
      <c r="B1363" t="s">
        <v>1456</v>
      </c>
    </row>
    <row r="1364" spans="1:2" x14ac:dyDescent="0.25">
      <c r="A1364" s="18">
        <v>3027</v>
      </c>
      <c r="B1364" t="s">
        <v>1457</v>
      </c>
    </row>
    <row r="1365" spans="1:2" x14ac:dyDescent="0.25">
      <c r="A1365" s="18">
        <v>3028</v>
      </c>
      <c r="B1365" t="s">
        <v>1458</v>
      </c>
    </row>
    <row r="1366" spans="1:2" x14ac:dyDescent="0.25">
      <c r="A1366" s="18">
        <v>3029</v>
      </c>
      <c r="B1366" t="s">
        <v>1459</v>
      </c>
    </row>
    <row r="1367" spans="1:2" x14ac:dyDescent="0.25">
      <c r="A1367" s="18">
        <v>3030</v>
      </c>
      <c r="B1367" t="s">
        <v>1460</v>
      </c>
    </row>
    <row r="1368" spans="1:2" x14ac:dyDescent="0.25">
      <c r="A1368" s="18">
        <v>3031</v>
      </c>
      <c r="B1368" t="s">
        <v>1461</v>
      </c>
    </row>
    <row r="1369" spans="1:2" x14ac:dyDescent="0.25">
      <c r="A1369" s="18">
        <v>3032</v>
      </c>
      <c r="B1369" t="s">
        <v>1462</v>
      </c>
    </row>
    <row r="1370" spans="1:2" x14ac:dyDescent="0.25">
      <c r="A1370" s="18">
        <v>3033</v>
      </c>
      <c r="B1370" t="s">
        <v>1463</v>
      </c>
    </row>
    <row r="1371" spans="1:2" x14ac:dyDescent="0.25">
      <c r="A1371" s="18">
        <v>3034</v>
      </c>
      <c r="B1371" t="s">
        <v>1464</v>
      </c>
    </row>
    <row r="1372" spans="1:2" x14ac:dyDescent="0.25">
      <c r="A1372" s="18">
        <v>3035</v>
      </c>
      <c r="B1372" t="s">
        <v>1465</v>
      </c>
    </row>
    <row r="1373" spans="1:2" x14ac:dyDescent="0.25">
      <c r="A1373" s="18">
        <v>3040</v>
      </c>
      <c r="B1373" t="s">
        <v>1466</v>
      </c>
    </row>
    <row r="1374" spans="1:2" x14ac:dyDescent="0.25">
      <c r="A1374" s="18">
        <v>3041</v>
      </c>
      <c r="B1374" t="s">
        <v>807</v>
      </c>
    </row>
    <row r="1375" spans="1:2" x14ac:dyDescent="0.25">
      <c r="A1375" s="18">
        <v>3053</v>
      </c>
      <c r="B1375" t="s">
        <v>808</v>
      </c>
    </row>
    <row r="1376" spans="1:2" x14ac:dyDescent="0.25">
      <c r="A1376" s="18">
        <v>3068</v>
      </c>
      <c r="B1376" t="s">
        <v>1467</v>
      </c>
    </row>
    <row r="1377" spans="1:2" x14ac:dyDescent="0.25">
      <c r="A1377" s="18">
        <v>3076</v>
      </c>
      <c r="B1377" t="s">
        <v>1169</v>
      </c>
    </row>
    <row r="1378" spans="1:2" x14ac:dyDescent="0.25">
      <c r="A1378" s="18">
        <v>3077</v>
      </c>
      <c r="B1378" t="s">
        <v>1170</v>
      </c>
    </row>
    <row r="1379" spans="1:2" x14ac:dyDescent="0.25">
      <c r="A1379" s="18">
        <v>3078</v>
      </c>
      <c r="B1379" t="s">
        <v>1171</v>
      </c>
    </row>
    <row r="1380" spans="1:2" x14ac:dyDescent="0.25">
      <c r="A1380" s="18">
        <v>3079</v>
      </c>
      <c r="B1380" t="s">
        <v>1172</v>
      </c>
    </row>
    <row r="1381" spans="1:2" x14ac:dyDescent="0.25">
      <c r="A1381" s="18">
        <v>7650</v>
      </c>
      <c r="B1381" t="s">
        <v>822</v>
      </c>
    </row>
    <row r="1382" spans="1:2" x14ac:dyDescent="0.25">
      <c r="A1382" s="18">
        <v>7651</v>
      </c>
      <c r="B1382" t="s">
        <v>824</v>
      </c>
    </row>
    <row r="1383" spans="1:2" x14ac:dyDescent="0.25">
      <c r="A1383" s="18">
        <v>7652</v>
      </c>
      <c r="B1383" t="s">
        <v>915</v>
      </c>
    </row>
    <row r="1384" spans="1:2" x14ac:dyDescent="0.25">
      <c r="A1384" s="18">
        <v>7653</v>
      </c>
      <c r="B1384" t="s">
        <v>1173</v>
      </c>
    </row>
    <row r="1385" spans="1:2" x14ac:dyDescent="0.25">
      <c r="A1385" s="18">
        <v>7654</v>
      </c>
      <c r="B1385" t="s">
        <v>1468</v>
      </c>
    </row>
    <row r="1386" spans="1:2" x14ac:dyDescent="0.25">
      <c r="A1386" s="18">
        <v>7655</v>
      </c>
      <c r="B1386" t="s">
        <v>826</v>
      </c>
    </row>
    <row r="1387" spans="1:2" x14ac:dyDescent="0.25">
      <c r="A1387" s="18">
        <v>7656</v>
      </c>
      <c r="B1387" t="s">
        <v>1174</v>
      </c>
    </row>
    <row r="1388" spans="1:2" x14ac:dyDescent="0.25">
      <c r="A1388" s="11">
        <v>7659</v>
      </c>
      <c r="B1388" t="s">
        <v>828</v>
      </c>
    </row>
    <row r="1389" spans="1:2" x14ac:dyDescent="0.25">
      <c r="A1389" s="11">
        <v>7660</v>
      </c>
      <c r="B1389" s="12" t="s">
        <v>916</v>
      </c>
    </row>
    <row r="1390" spans="1:2" x14ac:dyDescent="0.25">
      <c r="A1390" s="11">
        <v>7661</v>
      </c>
      <c r="B1390" s="12" t="s">
        <v>830</v>
      </c>
    </row>
    <row r="1391" spans="1:2" x14ac:dyDescent="0.25">
      <c r="A1391" s="11">
        <v>7662</v>
      </c>
      <c r="B1391" s="12" t="s">
        <v>832</v>
      </c>
    </row>
    <row r="1392" spans="1:2" x14ac:dyDescent="0.25">
      <c r="A1392" s="11">
        <v>7663</v>
      </c>
      <c r="B1392" s="12" t="s">
        <v>833</v>
      </c>
    </row>
    <row r="1393" spans="1:2" x14ac:dyDescent="0.25">
      <c r="A1393" s="11">
        <v>7664</v>
      </c>
      <c r="B1393" s="12" t="s">
        <v>1469</v>
      </c>
    </row>
    <row r="1394" spans="1:2" x14ac:dyDescent="0.25">
      <c r="A1394" s="11">
        <v>7666</v>
      </c>
      <c r="B1394" s="12" t="s">
        <v>1470</v>
      </c>
    </row>
    <row r="1395" spans="1:2" x14ac:dyDescent="0.25">
      <c r="A1395" s="11">
        <v>7668</v>
      </c>
      <c r="B1395" s="12" t="s">
        <v>1471</v>
      </c>
    </row>
    <row r="1396" spans="1:2" x14ac:dyDescent="0.25">
      <c r="A1396" s="11">
        <v>7678</v>
      </c>
      <c r="B1396" s="12" t="s">
        <v>835</v>
      </c>
    </row>
    <row r="1397" spans="1:2" x14ac:dyDescent="0.25">
      <c r="A1397" s="11">
        <v>7679</v>
      </c>
      <c r="B1397" s="12" t="s">
        <v>837</v>
      </c>
    </row>
    <row r="1398" spans="1:2" x14ac:dyDescent="0.25">
      <c r="A1398" s="11">
        <v>7684</v>
      </c>
      <c r="B1398" s="12" t="s">
        <v>1472</v>
      </c>
    </row>
    <row r="1399" spans="1:2" x14ac:dyDescent="0.25">
      <c r="A1399" s="11">
        <v>7685</v>
      </c>
      <c r="B1399" s="12" t="s">
        <v>839</v>
      </c>
    </row>
    <row r="1400" spans="1:2" x14ac:dyDescent="0.25">
      <c r="A1400" s="11">
        <v>7690</v>
      </c>
      <c r="B1400" s="12" t="s">
        <v>841</v>
      </c>
    </row>
    <row r="1401" spans="1:2" x14ac:dyDescent="0.25">
      <c r="A1401" s="11">
        <v>7691</v>
      </c>
      <c r="B1401" s="12" t="s">
        <v>1473</v>
      </c>
    </row>
    <row r="1402" spans="1:2" x14ac:dyDescent="0.25">
      <c r="A1402" s="11">
        <v>7692</v>
      </c>
      <c r="B1402" s="12" t="s">
        <v>843</v>
      </c>
    </row>
    <row r="1403" spans="1:2" x14ac:dyDescent="0.25">
      <c r="A1403" s="11">
        <v>7693</v>
      </c>
      <c r="B1403" s="12" t="s">
        <v>1474</v>
      </c>
    </row>
    <row r="1404" spans="1:2" x14ac:dyDescent="0.25">
      <c r="A1404" s="11">
        <v>7697</v>
      </c>
      <c r="B1404" s="12" t="s">
        <v>1030</v>
      </c>
    </row>
    <row r="1405" spans="1:2" x14ac:dyDescent="0.25">
      <c r="A1405" s="11">
        <v>7698</v>
      </c>
      <c r="B1405" s="12" t="s">
        <v>844</v>
      </c>
    </row>
    <row r="1406" spans="1:2" x14ac:dyDescent="0.25">
      <c r="A1406" s="11">
        <v>7699</v>
      </c>
      <c r="B1406" s="12" t="s">
        <v>846</v>
      </c>
    </row>
    <row r="1407" spans="1:2" x14ac:dyDescent="0.25">
      <c r="A1407" s="11">
        <v>7712</v>
      </c>
      <c r="B1407" s="12" t="s">
        <v>1475</v>
      </c>
    </row>
    <row r="1408" spans="1:2" x14ac:dyDescent="0.25">
      <c r="A1408" s="11">
        <v>13737</v>
      </c>
      <c r="B1408" s="12" t="s">
        <v>1476</v>
      </c>
    </row>
    <row r="1409" spans="1:2" x14ac:dyDescent="0.25">
      <c r="A1409" s="11">
        <v>13738</v>
      </c>
      <c r="B1409" s="12" t="s">
        <v>1477</v>
      </c>
    </row>
    <row r="1410" spans="1:2" x14ac:dyDescent="0.25">
      <c r="A1410" s="11">
        <v>13739</v>
      </c>
      <c r="B1410" s="12" t="s">
        <v>1478</v>
      </c>
    </row>
    <row r="1411" spans="1:2" x14ac:dyDescent="0.25">
      <c r="A1411" s="11">
        <v>13740</v>
      </c>
      <c r="B1411" s="12" t="s">
        <v>1479</v>
      </c>
    </row>
    <row r="1412" spans="1:2" x14ac:dyDescent="0.25">
      <c r="A1412" s="11">
        <v>13741</v>
      </c>
      <c r="B1412" s="12" t="s">
        <v>1480</v>
      </c>
    </row>
    <row r="1413" spans="1:2" x14ac:dyDescent="0.25">
      <c r="A1413" s="11">
        <v>13742</v>
      </c>
      <c r="B1413" s="12" t="s">
        <v>1481</v>
      </c>
    </row>
    <row r="1414" spans="1:2" x14ac:dyDescent="0.25">
      <c r="A1414" s="11">
        <v>13743</v>
      </c>
      <c r="B1414" s="12" t="s">
        <v>1482</v>
      </c>
    </row>
    <row r="1415" spans="1:2" x14ac:dyDescent="0.25">
      <c r="A1415" s="11">
        <v>13744</v>
      </c>
      <c r="B1415" s="12" t="s">
        <v>1483</v>
      </c>
    </row>
    <row r="1416" spans="1:2" x14ac:dyDescent="0.25">
      <c r="A1416" s="11">
        <v>13745</v>
      </c>
      <c r="B1416" s="12" t="s">
        <v>1484</v>
      </c>
    </row>
    <row r="1417" spans="1:2" x14ac:dyDescent="0.25">
      <c r="A1417" s="11">
        <v>13746</v>
      </c>
      <c r="B1417" s="12" t="s">
        <v>859</v>
      </c>
    </row>
    <row r="1418" spans="1:2" x14ac:dyDescent="0.25">
      <c r="A1418" s="11">
        <v>13747</v>
      </c>
      <c r="B1418" s="12" t="s">
        <v>1485</v>
      </c>
    </row>
    <row r="1419" spans="1:2" x14ac:dyDescent="0.25">
      <c r="A1419" s="11">
        <v>13748</v>
      </c>
      <c r="B1419" s="12" t="s">
        <v>1486</v>
      </c>
    </row>
    <row r="1420" spans="1:2" x14ac:dyDescent="0.25">
      <c r="A1420" s="11">
        <v>800</v>
      </c>
      <c r="B1420" s="12" t="s">
        <v>1487</v>
      </c>
    </row>
    <row r="1421" spans="1:2" x14ac:dyDescent="0.25">
      <c r="A1421" s="11">
        <v>801</v>
      </c>
      <c r="B1421" s="12" t="s">
        <v>1488</v>
      </c>
    </row>
    <row r="1422" spans="1:2" x14ac:dyDescent="0.25">
      <c r="A1422" s="11">
        <v>802</v>
      </c>
      <c r="B1422" s="12" t="s">
        <v>891</v>
      </c>
    </row>
    <row r="1423" spans="1:2" x14ac:dyDescent="0.25">
      <c r="A1423" s="11">
        <v>803</v>
      </c>
      <c r="B1423" s="12" t="s">
        <v>300</v>
      </c>
    </row>
    <row r="1424" spans="1:2" x14ac:dyDescent="0.25">
      <c r="A1424" s="11">
        <v>805</v>
      </c>
      <c r="B1424" s="12" t="s">
        <v>302</v>
      </c>
    </row>
    <row r="1425" spans="1:2" x14ac:dyDescent="0.25">
      <c r="A1425" s="11">
        <v>807</v>
      </c>
      <c r="B1425" s="12" t="s">
        <v>998</v>
      </c>
    </row>
    <row r="1426" spans="1:2" x14ac:dyDescent="0.25">
      <c r="A1426" s="11">
        <v>808</v>
      </c>
      <c r="B1426" s="12" t="s">
        <v>1489</v>
      </c>
    </row>
    <row r="1427" spans="1:2" x14ac:dyDescent="0.25">
      <c r="A1427" s="11">
        <v>809</v>
      </c>
      <c r="B1427" s="12" t="s">
        <v>1490</v>
      </c>
    </row>
    <row r="1428" spans="1:2" x14ac:dyDescent="0.25">
      <c r="A1428" s="11">
        <v>811</v>
      </c>
      <c r="B1428" s="12" t="s">
        <v>1491</v>
      </c>
    </row>
    <row r="1429" spans="1:2" x14ac:dyDescent="0.25">
      <c r="A1429" s="11">
        <v>816</v>
      </c>
      <c r="B1429" s="12" t="s">
        <v>1492</v>
      </c>
    </row>
    <row r="1430" spans="1:2" x14ac:dyDescent="0.25">
      <c r="A1430" s="11">
        <v>821</v>
      </c>
      <c r="B1430" s="12" t="s">
        <v>1493</v>
      </c>
    </row>
    <row r="1431" spans="1:2" x14ac:dyDescent="0.25">
      <c r="A1431" s="11">
        <v>828</v>
      </c>
      <c r="B1431" s="12" t="s">
        <v>1494</v>
      </c>
    </row>
    <row r="1432" spans="1:2" x14ac:dyDescent="0.25">
      <c r="A1432" s="11">
        <v>838</v>
      </c>
      <c r="B1432" s="12" t="s">
        <v>1495</v>
      </c>
    </row>
    <row r="1433" spans="1:2" x14ac:dyDescent="0.25">
      <c r="A1433" s="11">
        <v>840</v>
      </c>
      <c r="B1433" s="12" t="s">
        <v>1496</v>
      </c>
    </row>
    <row r="1434" spans="1:2" x14ac:dyDescent="0.25">
      <c r="A1434" s="11">
        <v>841</v>
      </c>
      <c r="B1434" s="12" t="s">
        <v>304</v>
      </c>
    </row>
    <row r="1435" spans="1:2" x14ac:dyDescent="0.25">
      <c r="A1435" s="11">
        <v>842</v>
      </c>
      <c r="B1435" s="12" t="s">
        <v>306</v>
      </c>
    </row>
    <row r="1436" spans="1:2" x14ac:dyDescent="0.25">
      <c r="A1436" s="11">
        <v>843</v>
      </c>
      <c r="B1436" s="12" t="s">
        <v>308</v>
      </c>
    </row>
    <row r="1437" spans="1:2" x14ac:dyDescent="0.25">
      <c r="A1437" s="11">
        <v>845</v>
      </c>
      <c r="B1437" s="12" t="s">
        <v>310</v>
      </c>
    </row>
    <row r="1438" spans="1:2" x14ac:dyDescent="0.25">
      <c r="A1438" s="11">
        <v>848</v>
      </c>
      <c r="B1438" s="12" t="s">
        <v>999</v>
      </c>
    </row>
    <row r="1439" spans="1:2" x14ac:dyDescent="0.25">
      <c r="A1439" s="11">
        <v>850</v>
      </c>
      <c r="B1439" s="12" t="s">
        <v>312</v>
      </c>
    </row>
    <row r="1440" spans="1:2" x14ac:dyDescent="0.25">
      <c r="A1440" s="11">
        <v>851</v>
      </c>
      <c r="B1440" s="12" t="s">
        <v>314</v>
      </c>
    </row>
    <row r="1441" spans="1:2" x14ac:dyDescent="0.25">
      <c r="A1441" s="11">
        <v>852</v>
      </c>
      <c r="B1441" s="12" t="s">
        <v>1497</v>
      </c>
    </row>
    <row r="1442" spans="1:2" x14ac:dyDescent="0.25">
      <c r="A1442" s="11">
        <v>853</v>
      </c>
      <c r="B1442" s="12" t="s">
        <v>1498</v>
      </c>
    </row>
    <row r="1443" spans="1:2" x14ac:dyDescent="0.25">
      <c r="A1443" s="11">
        <v>855</v>
      </c>
      <c r="B1443" s="12" t="s">
        <v>316</v>
      </c>
    </row>
    <row r="1444" spans="1:2" x14ac:dyDescent="0.25">
      <c r="A1444" s="11">
        <v>856</v>
      </c>
      <c r="B1444" s="12" t="s">
        <v>1499</v>
      </c>
    </row>
    <row r="1445" spans="1:2" x14ac:dyDescent="0.25">
      <c r="A1445" s="11">
        <v>857</v>
      </c>
      <c r="B1445" s="12" t="s">
        <v>318</v>
      </c>
    </row>
    <row r="1446" spans="1:2" x14ac:dyDescent="0.25">
      <c r="A1446" s="11">
        <v>858</v>
      </c>
      <c r="B1446" s="12" t="s">
        <v>320</v>
      </c>
    </row>
    <row r="1447" spans="1:2" x14ac:dyDescent="0.25">
      <c r="A1447" s="11">
        <v>859</v>
      </c>
      <c r="B1447" s="12" t="s">
        <v>1500</v>
      </c>
    </row>
    <row r="1448" spans="1:2" x14ac:dyDescent="0.25">
      <c r="A1448" s="11">
        <v>860</v>
      </c>
      <c r="B1448" s="12" t="s">
        <v>322</v>
      </c>
    </row>
    <row r="1449" spans="1:2" x14ac:dyDescent="0.25">
      <c r="A1449" s="11">
        <v>861</v>
      </c>
      <c r="B1449" s="12" t="s">
        <v>1501</v>
      </c>
    </row>
    <row r="1450" spans="1:2" x14ac:dyDescent="0.25">
      <c r="A1450" s="11">
        <v>862</v>
      </c>
      <c r="B1450" s="12" t="s">
        <v>324</v>
      </c>
    </row>
    <row r="1451" spans="1:2" x14ac:dyDescent="0.25">
      <c r="A1451" s="11">
        <v>863</v>
      </c>
      <c r="B1451" s="12" t="s">
        <v>1000</v>
      </c>
    </row>
    <row r="1452" spans="1:2" x14ac:dyDescent="0.25">
      <c r="A1452" s="11">
        <v>864</v>
      </c>
      <c r="B1452" s="12" t="s">
        <v>1001</v>
      </c>
    </row>
    <row r="1453" spans="1:2" x14ac:dyDescent="0.25">
      <c r="A1453" s="11">
        <v>865</v>
      </c>
      <c r="B1453" s="12" t="s">
        <v>1502</v>
      </c>
    </row>
    <row r="1454" spans="1:2" x14ac:dyDescent="0.25">
      <c r="A1454" s="11">
        <v>866</v>
      </c>
      <c r="B1454" s="12" t="s">
        <v>326</v>
      </c>
    </row>
    <row r="1455" spans="1:2" x14ac:dyDescent="0.25">
      <c r="A1455" s="11">
        <v>867</v>
      </c>
      <c r="B1455" s="12" t="s">
        <v>328</v>
      </c>
    </row>
    <row r="1456" spans="1:2" x14ac:dyDescent="0.25">
      <c r="A1456" s="11">
        <v>868</v>
      </c>
      <c r="B1456" s="12" t="s">
        <v>1503</v>
      </c>
    </row>
    <row r="1457" spans="1:2" x14ac:dyDescent="0.25">
      <c r="A1457" s="11">
        <v>869</v>
      </c>
      <c r="B1457" s="12" t="s">
        <v>330</v>
      </c>
    </row>
    <row r="1458" spans="1:2" x14ac:dyDescent="0.25">
      <c r="A1458" s="11">
        <v>870</v>
      </c>
      <c r="B1458" s="12" t="s">
        <v>331</v>
      </c>
    </row>
    <row r="1459" spans="1:2" x14ac:dyDescent="0.25">
      <c r="A1459" s="11">
        <v>873</v>
      </c>
      <c r="B1459" s="12" t="s">
        <v>333</v>
      </c>
    </row>
    <row r="1460" spans="1:2" x14ac:dyDescent="0.25">
      <c r="A1460" s="11">
        <v>874</v>
      </c>
      <c r="B1460" s="12" t="s">
        <v>335</v>
      </c>
    </row>
    <row r="1461" spans="1:2" x14ac:dyDescent="0.25">
      <c r="A1461" s="11">
        <v>876</v>
      </c>
      <c r="B1461" s="12" t="s">
        <v>1504</v>
      </c>
    </row>
    <row r="1462" spans="1:2" x14ac:dyDescent="0.25">
      <c r="A1462" s="11">
        <v>877</v>
      </c>
      <c r="B1462" s="12" t="s">
        <v>337</v>
      </c>
    </row>
    <row r="1463" spans="1:2" x14ac:dyDescent="0.25">
      <c r="A1463" s="11">
        <v>878</v>
      </c>
      <c r="B1463" s="12" t="s">
        <v>1505</v>
      </c>
    </row>
    <row r="1464" spans="1:2" x14ac:dyDescent="0.25">
      <c r="A1464" s="11">
        <v>880</v>
      </c>
      <c r="B1464" s="12" t="s">
        <v>339</v>
      </c>
    </row>
    <row r="1465" spans="1:2" x14ac:dyDescent="0.25">
      <c r="A1465" s="11">
        <v>881</v>
      </c>
      <c r="B1465" s="12" t="s">
        <v>1506</v>
      </c>
    </row>
    <row r="1466" spans="1:2" x14ac:dyDescent="0.25">
      <c r="A1466" s="11">
        <v>882</v>
      </c>
      <c r="B1466" s="12" t="s">
        <v>341</v>
      </c>
    </row>
    <row r="1467" spans="1:2" x14ac:dyDescent="0.25">
      <c r="A1467" s="11">
        <v>883</v>
      </c>
      <c r="B1467" s="12" t="s">
        <v>343</v>
      </c>
    </row>
    <row r="1468" spans="1:2" x14ac:dyDescent="0.25">
      <c r="A1468" s="11">
        <v>884</v>
      </c>
      <c r="B1468" s="12" t="s">
        <v>345</v>
      </c>
    </row>
    <row r="1469" spans="1:2" x14ac:dyDescent="0.25">
      <c r="A1469" s="11">
        <v>885</v>
      </c>
      <c r="B1469" s="12" t="s">
        <v>347</v>
      </c>
    </row>
    <row r="1470" spans="1:2" x14ac:dyDescent="0.25">
      <c r="A1470" s="11">
        <v>886</v>
      </c>
      <c r="B1470" s="12" t="s">
        <v>349</v>
      </c>
    </row>
    <row r="1471" spans="1:2" x14ac:dyDescent="0.25">
      <c r="A1471" s="11">
        <v>887</v>
      </c>
      <c r="B1471" s="12" t="s">
        <v>351</v>
      </c>
    </row>
    <row r="1472" spans="1:2" x14ac:dyDescent="0.25">
      <c r="A1472" s="11">
        <v>889</v>
      </c>
      <c r="B1472" s="12" t="s">
        <v>1507</v>
      </c>
    </row>
    <row r="1473" spans="1:2" x14ac:dyDescent="0.25">
      <c r="A1473" s="11">
        <v>890</v>
      </c>
      <c r="B1473" s="12" t="s">
        <v>353</v>
      </c>
    </row>
    <row r="1474" spans="1:2" x14ac:dyDescent="0.25">
      <c r="A1474" s="11">
        <v>891</v>
      </c>
      <c r="B1474" s="12" t="s">
        <v>1508</v>
      </c>
    </row>
    <row r="1475" spans="1:2" x14ac:dyDescent="0.25">
      <c r="A1475" s="11">
        <v>892</v>
      </c>
      <c r="B1475" s="12" t="s">
        <v>355</v>
      </c>
    </row>
    <row r="1476" spans="1:2" x14ac:dyDescent="0.25">
      <c r="A1476" s="11">
        <v>893</v>
      </c>
      <c r="B1476" s="12" t="s">
        <v>357</v>
      </c>
    </row>
    <row r="1477" spans="1:2" x14ac:dyDescent="0.25">
      <c r="A1477" s="11">
        <v>895</v>
      </c>
      <c r="B1477" s="12" t="s">
        <v>1509</v>
      </c>
    </row>
    <row r="1478" spans="1:2" x14ac:dyDescent="0.25">
      <c r="A1478" s="11">
        <v>896</v>
      </c>
      <c r="B1478" s="12" t="s">
        <v>1510</v>
      </c>
    </row>
    <row r="1479" spans="1:2" x14ac:dyDescent="0.25">
      <c r="A1479" s="11">
        <v>897</v>
      </c>
      <c r="B1479" s="12" t="s">
        <v>1511</v>
      </c>
    </row>
    <row r="1480" spans="1:2" x14ac:dyDescent="0.25">
      <c r="A1480" s="11">
        <v>899</v>
      </c>
      <c r="B1480" s="12" t="s">
        <v>359</v>
      </c>
    </row>
    <row r="1481" spans="1:2" x14ac:dyDescent="0.25">
      <c r="A1481" s="11">
        <v>900</v>
      </c>
      <c r="B1481" s="12" t="s">
        <v>361</v>
      </c>
    </row>
    <row r="1482" spans="1:2" x14ac:dyDescent="0.25">
      <c r="A1482" s="11">
        <v>901</v>
      </c>
      <c r="B1482" s="12" t="s">
        <v>363</v>
      </c>
    </row>
    <row r="1483" spans="1:2" x14ac:dyDescent="0.25">
      <c r="A1483" s="11">
        <v>902</v>
      </c>
      <c r="B1483" s="12" t="s">
        <v>365</v>
      </c>
    </row>
    <row r="1484" spans="1:2" x14ac:dyDescent="0.25">
      <c r="A1484" s="11">
        <v>903</v>
      </c>
      <c r="B1484" s="12" t="s">
        <v>1002</v>
      </c>
    </row>
    <row r="1485" spans="1:2" x14ac:dyDescent="0.25">
      <c r="A1485" s="11">
        <v>904</v>
      </c>
      <c r="B1485" s="12" t="s">
        <v>366</v>
      </c>
    </row>
    <row r="1486" spans="1:2" x14ac:dyDescent="0.25">
      <c r="A1486" s="11">
        <v>905</v>
      </c>
      <c r="B1486" s="12" t="s">
        <v>1512</v>
      </c>
    </row>
    <row r="1487" spans="1:2" x14ac:dyDescent="0.25">
      <c r="A1487" s="11">
        <v>906</v>
      </c>
      <c r="B1487" s="12" t="s">
        <v>1513</v>
      </c>
    </row>
    <row r="1488" spans="1:2" x14ac:dyDescent="0.25">
      <c r="A1488" s="11">
        <v>907</v>
      </c>
      <c r="B1488" s="12" t="s">
        <v>1514</v>
      </c>
    </row>
    <row r="1489" spans="1:2" x14ac:dyDescent="0.25">
      <c r="A1489" s="11">
        <v>908</v>
      </c>
      <c r="B1489" s="12" t="s">
        <v>368</v>
      </c>
    </row>
    <row r="1490" spans="1:2" x14ac:dyDescent="0.25">
      <c r="A1490" s="11">
        <v>909</v>
      </c>
      <c r="B1490" s="12" t="s">
        <v>1515</v>
      </c>
    </row>
    <row r="1491" spans="1:2" x14ac:dyDescent="0.25">
      <c r="A1491" s="11">
        <v>910</v>
      </c>
      <c r="B1491" s="12" t="s">
        <v>369</v>
      </c>
    </row>
    <row r="1492" spans="1:2" x14ac:dyDescent="0.25">
      <c r="A1492" s="11">
        <v>911</v>
      </c>
      <c r="B1492" s="12" t="s">
        <v>371</v>
      </c>
    </row>
    <row r="1493" spans="1:2" x14ac:dyDescent="0.25">
      <c r="A1493" s="11">
        <v>912</v>
      </c>
      <c r="B1493" s="12" t="s">
        <v>373</v>
      </c>
    </row>
    <row r="1494" spans="1:2" x14ac:dyDescent="0.25">
      <c r="A1494" s="11">
        <v>913</v>
      </c>
      <c r="B1494" s="12" t="s">
        <v>375</v>
      </c>
    </row>
    <row r="1495" spans="1:2" x14ac:dyDescent="0.25">
      <c r="A1495" s="11">
        <v>914</v>
      </c>
      <c r="B1495" s="12" t="s">
        <v>1516</v>
      </c>
    </row>
    <row r="1496" spans="1:2" x14ac:dyDescent="0.25">
      <c r="A1496" s="11">
        <v>915</v>
      </c>
      <c r="B1496" s="12" t="s">
        <v>377</v>
      </c>
    </row>
    <row r="1497" spans="1:2" x14ac:dyDescent="0.25">
      <c r="A1497" s="11">
        <v>917</v>
      </c>
      <c r="B1497" s="12" t="s">
        <v>378</v>
      </c>
    </row>
    <row r="1498" spans="1:2" x14ac:dyDescent="0.25">
      <c r="A1498" s="11">
        <v>918</v>
      </c>
      <c r="B1498" s="12" t="s">
        <v>380</v>
      </c>
    </row>
    <row r="1499" spans="1:2" x14ac:dyDescent="0.25">
      <c r="A1499" s="11">
        <v>919</v>
      </c>
      <c r="B1499" s="12" t="s">
        <v>382</v>
      </c>
    </row>
    <row r="1500" spans="1:2" x14ac:dyDescent="0.25">
      <c r="A1500" s="11">
        <v>920</v>
      </c>
      <c r="B1500" s="12" t="s">
        <v>384</v>
      </c>
    </row>
    <row r="1501" spans="1:2" x14ac:dyDescent="0.25">
      <c r="A1501" s="11">
        <v>921</v>
      </c>
      <c r="B1501" s="12" t="s">
        <v>1517</v>
      </c>
    </row>
    <row r="1502" spans="1:2" x14ac:dyDescent="0.25">
      <c r="A1502" s="11">
        <v>922</v>
      </c>
      <c r="B1502" s="12" t="s">
        <v>1518</v>
      </c>
    </row>
    <row r="1503" spans="1:2" x14ac:dyDescent="0.25">
      <c r="A1503" s="11">
        <v>923</v>
      </c>
      <c r="B1503" s="12" t="s">
        <v>1519</v>
      </c>
    </row>
    <row r="1504" spans="1:2" x14ac:dyDescent="0.25">
      <c r="A1504" s="11">
        <v>924</v>
      </c>
      <c r="B1504" s="12" t="s">
        <v>386</v>
      </c>
    </row>
    <row r="1505" spans="1:2" x14ac:dyDescent="0.25">
      <c r="A1505" s="11">
        <v>928</v>
      </c>
      <c r="B1505" s="12" t="s">
        <v>1520</v>
      </c>
    </row>
    <row r="1506" spans="1:2" x14ac:dyDescent="0.25">
      <c r="A1506" s="11">
        <v>929</v>
      </c>
      <c r="B1506" s="12" t="s">
        <v>388</v>
      </c>
    </row>
    <row r="1507" spans="1:2" x14ac:dyDescent="0.25">
      <c r="A1507" s="11">
        <v>930</v>
      </c>
      <c r="B1507" s="12" t="s">
        <v>390</v>
      </c>
    </row>
    <row r="1508" spans="1:2" x14ac:dyDescent="0.25">
      <c r="A1508" s="11">
        <v>931</v>
      </c>
      <c r="B1508" s="12" t="s">
        <v>392</v>
      </c>
    </row>
    <row r="1509" spans="1:2" x14ac:dyDescent="0.25">
      <c r="A1509" s="11">
        <v>932</v>
      </c>
      <c r="B1509" s="12" t="s">
        <v>1521</v>
      </c>
    </row>
    <row r="1510" spans="1:2" x14ac:dyDescent="0.25">
      <c r="A1510" s="11">
        <v>933</v>
      </c>
      <c r="B1510" s="12" t="s">
        <v>394</v>
      </c>
    </row>
    <row r="1511" spans="1:2" x14ac:dyDescent="0.25">
      <c r="A1511" s="11">
        <v>934</v>
      </c>
      <c r="B1511" s="12" t="s">
        <v>396</v>
      </c>
    </row>
    <row r="1512" spans="1:2" x14ac:dyDescent="0.25">
      <c r="A1512" s="11">
        <v>935</v>
      </c>
      <c r="B1512" s="12" t="s">
        <v>1522</v>
      </c>
    </row>
    <row r="1513" spans="1:2" x14ac:dyDescent="0.25">
      <c r="A1513" s="11">
        <v>936</v>
      </c>
      <c r="B1513" s="12" t="s">
        <v>1523</v>
      </c>
    </row>
    <row r="1514" spans="1:2" x14ac:dyDescent="0.25">
      <c r="A1514" s="11">
        <v>938</v>
      </c>
      <c r="B1514" s="12" t="s">
        <v>398</v>
      </c>
    </row>
    <row r="1515" spans="1:2" x14ac:dyDescent="0.25">
      <c r="A1515" s="11">
        <v>939</v>
      </c>
      <c r="B1515" s="12" t="s">
        <v>400</v>
      </c>
    </row>
    <row r="1516" spans="1:2" x14ac:dyDescent="0.25">
      <c r="A1516" s="11">
        <v>940</v>
      </c>
      <c r="B1516" s="12" t="s">
        <v>402</v>
      </c>
    </row>
    <row r="1517" spans="1:2" x14ac:dyDescent="0.25">
      <c r="A1517" s="11">
        <v>941</v>
      </c>
      <c r="B1517" s="12" t="s">
        <v>404</v>
      </c>
    </row>
    <row r="1518" spans="1:2" x14ac:dyDescent="0.25">
      <c r="A1518" s="11">
        <v>942</v>
      </c>
      <c r="B1518" s="12" t="s">
        <v>406</v>
      </c>
    </row>
    <row r="1519" spans="1:2" x14ac:dyDescent="0.25">
      <c r="A1519" s="11">
        <v>943</v>
      </c>
      <c r="B1519" s="12" t="s">
        <v>408</v>
      </c>
    </row>
    <row r="1520" spans="1:2" x14ac:dyDescent="0.25">
      <c r="A1520" s="11">
        <v>944</v>
      </c>
      <c r="B1520" s="12" t="s">
        <v>1524</v>
      </c>
    </row>
    <row r="1521" spans="1:2" x14ac:dyDescent="0.25">
      <c r="A1521" s="11">
        <v>945</v>
      </c>
      <c r="B1521" s="12" t="s">
        <v>1525</v>
      </c>
    </row>
    <row r="1522" spans="1:2" x14ac:dyDescent="0.25">
      <c r="A1522" s="11">
        <v>949</v>
      </c>
      <c r="B1522" s="12" t="s">
        <v>1526</v>
      </c>
    </row>
    <row r="1523" spans="1:2" x14ac:dyDescent="0.25">
      <c r="A1523" s="11">
        <v>950</v>
      </c>
      <c r="B1523" s="12" t="s">
        <v>410</v>
      </c>
    </row>
    <row r="1524" spans="1:2" x14ac:dyDescent="0.25">
      <c r="A1524" s="11">
        <v>951</v>
      </c>
      <c r="B1524" s="12" t="s">
        <v>1527</v>
      </c>
    </row>
    <row r="1525" spans="1:2" x14ac:dyDescent="0.25">
      <c r="A1525" s="11">
        <v>956</v>
      </c>
      <c r="B1525" s="12" t="s">
        <v>1528</v>
      </c>
    </row>
    <row r="1526" spans="1:2" x14ac:dyDescent="0.25">
      <c r="A1526" s="11">
        <v>957</v>
      </c>
      <c r="B1526" s="12" t="s">
        <v>1529</v>
      </c>
    </row>
    <row r="1527" spans="1:2" x14ac:dyDescent="0.25">
      <c r="A1527" s="11">
        <v>958</v>
      </c>
      <c r="B1527" s="12" t="s">
        <v>412</v>
      </c>
    </row>
    <row r="1528" spans="1:2" x14ac:dyDescent="0.25">
      <c r="A1528" s="11">
        <v>962</v>
      </c>
      <c r="B1528" s="12" t="s">
        <v>414</v>
      </c>
    </row>
    <row r="1529" spans="1:2" x14ac:dyDescent="0.25">
      <c r="A1529" s="11">
        <v>963</v>
      </c>
      <c r="B1529" s="12" t="s">
        <v>416</v>
      </c>
    </row>
    <row r="1530" spans="1:2" x14ac:dyDescent="0.25">
      <c r="A1530" s="11">
        <v>964</v>
      </c>
      <c r="B1530" s="12" t="s">
        <v>418</v>
      </c>
    </row>
    <row r="1531" spans="1:2" x14ac:dyDescent="0.25">
      <c r="A1531" s="11">
        <v>965</v>
      </c>
      <c r="B1531" s="12" t="s">
        <v>1530</v>
      </c>
    </row>
    <row r="1532" spans="1:2" x14ac:dyDescent="0.25">
      <c r="A1532" s="11">
        <v>966</v>
      </c>
      <c r="B1532" s="12" t="s">
        <v>420</v>
      </c>
    </row>
    <row r="1533" spans="1:2" x14ac:dyDescent="0.25">
      <c r="A1533" s="11">
        <v>967</v>
      </c>
      <c r="B1533" s="12" t="s">
        <v>422</v>
      </c>
    </row>
    <row r="1534" spans="1:2" x14ac:dyDescent="0.25">
      <c r="A1534" s="11">
        <v>968</v>
      </c>
      <c r="B1534" s="12" t="s">
        <v>424</v>
      </c>
    </row>
    <row r="1535" spans="1:2" x14ac:dyDescent="0.25">
      <c r="A1535" s="11">
        <v>969</v>
      </c>
      <c r="B1535" s="12" t="s">
        <v>426</v>
      </c>
    </row>
    <row r="1536" spans="1:2" x14ac:dyDescent="0.25">
      <c r="A1536" s="11">
        <v>970</v>
      </c>
      <c r="B1536" s="12" t="s">
        <v>428</v>
      </c>
    </row>
    <row r="1537" spans="1:2" x14ac:dyDescent="0.25">
      <c r="A1537" s="11">
        <v>971</v>
      </c>
      <c r="B1537" s="12" t="s">
        <v>430</v>
      </c>
    </row>
    <row r="1538" spans="1:2" x14ac:dyDescent="0.25">
      <c r="A1538" s="11">
        <v>972</v>
      </c>
      <c r="B1538" s="12" t="s">
        <v>432</v>
      </c>
    </row>
    <row r="1539" spans="1:2" x14ac:dyDescent="0.25">
      <c r="A1539" s="11">
        <v>973</v>
      </c>
      <c r="B1539" s="12" t="s">
        <v>434</v>
      </c>
    </row>
    <row r="1540" spans="1:2" x14ac:dyDescent="0.25">
      <c r="A1540" s="11">
        <v>974</v>
      </c>
      <c r="B1540" s="12" t="s">
        <v>436</v>
      </c>
    </row>
    <row r="1541" spans="1:2" x14ac:dyDescent="0.25">
      <c r="A1541" s="11">
        <v>975</v>
      </c>
      <c r="B1541" s="12" t="s">
        <v>1531</v>
      </c>
    </row>
    <row r="1542" spans="1:2" x14ac:dyDescent="0.25">
      <c r="A1542" s="11">
        <v>976</v>
      </c>
      <c r="B1542" s="12" t="s">
        <v>1532</v>
      </c>
    </row>
    <row r="1543" spans="1:2" x14ac:dyDescent="0.25">
      <c r="A1543" s="11">
        <v>977</v>
      </c>
      <c r="B1543" s="12" t="s">
        <v>1533</v>
      </c>
    </row>
    <row r="1544" spans="1:2" x14ac:dyDescent="0.25">
      <c r="A1544" s="11">
        <v>978</v>
      </c>
      <c r="B1544" s="12" t="s">
        <v>892</v>
      </c>
    </row>
    <row r="1545" spans="1:2" x14ac:dyDescent="0.25">
      <c r="A1545" s="11">
        <v>980</v>
      </c>
      <c r="B1545" s="12" t="s">
        <v>440</v>
      </c>
    </row>
    <row r="1546" spans="1:2" x14ac:dyDescent="0.25">
      <c r="A1546" s="11">
        <v>981</v>
      </c>
      <c r="B1546" s="12" t="s">
        <v>442</v>
      </c>
    </row>
    <row r="1547" spans="1:2" x14ac:dyDescent="0.25">
      <c r="A1547" s="11">
        <v>982</v>
      </c>
      <c r="B1547" s="12" t="s">
        <v>444</v>
      </c>
    </row>
    <row r="1548" spans="1:2" x14ac:dyDescent="0.25">
      <c r="A1548" s="11">
        <v>983</v>
      </c>
      <c r="B1548" s="12" t="s">
        <v>446</v>
      </c>
    </row>
    <row r="1549" spans="1:2" x14ac:dyDescent="0.25">
      <c r="A1549" s="11">
        <v>984</v>
      </c>
      <c r="B1549" s="12" t="s">
        <v>1534</v>
      </c>
    </row>
    <row r="1550" spans="1:2" x14ac:dyDescent="0.25">
      <c r="A1550" s="11">
        <v>986</v>
      </c>
      <c r="B1550" s="12" t="s">
        <v>1535</v>
      </c>
    </row>
    <row r="1551" spans="1:2" x14ac:dyDescent="0.25">
      <c r="A1551" s="11">
        <v>988</v>
      </c>
      <c r="B1551" s="12" t="s">
        <v>1536</v>
      </c>
    </row>
    <row r="1552" spans="1:2" x14ac:dyDescent="0.25">
      <c r="A1552" s="11">
        <v>992</v>
      </c>
      <c r="B1552" s="12" t="s">
        <v>1537</v>
      </c>
    </row>
    <row r="1553" spans="1:2" x14ac:dyDescent="0.25">
      <c r="A1553" s="11">
        <v>993</v>
      </c>
      <c r="B1553" s="12" t="s">
        <v>1538</v>
      </c>
    </row>
    <row r="1554" spans="1:2" x14ac:dyDescent="0.25">
      <c r="A1554" s="11">
        <v>995</v>
      </c>
      <c r="B1554" s="12" t="s">
        <v>1539</v>
      </c>
    </row>
    <row r="1555" spans="1:2" x14ac:dyDescent="0.25">
      <c r="A1555" s="11">
        <v>996</v>
      </c>
      <c r="B1555" s="12" t="s">
        <v>1540</v>
      </c>
    </row>
    <row r="1556" spans="1:2" x14ac:dyDescent="0.25">
      <c r="A1556" s="11">
        <v>997</v>
      </c>
      <c r="B1556" s="12" t="s">
        <v>1541</v>
      </c>
    </row>
    <row r="1557" spans="1:2" x14ac:dyDescent="0.25">
      <c r="A1557" s="11">
        <v>2232</v>
      </c>
      <c r="B1557" s="12" t="s">
        <v>1542</v>
      </c>
    </row>
    <row r="1558" spans="1:2" x14ac:dyDescent="0.25">
      <c r="A1558" s="11">
        <v>2245</v>
      </c>
      <c r="B1558" s="12" t="s">
        <v>1543</v>
      </c>
    </row>
    <row r="1559" spans="1:2" x14ac:dyDescent="0.25">
      <c r="A1559" s="11">
        <v>2250</v>
      </c>
      <c r="B1559" s="12" t="s">
        <v>1012</v>
      </c>
    </row>
    <row r="1560" spans="1:2" x14ac:dyDescent="0.25">
      <c r="A1560" s="11">
        <v>2252</v>
      </c>
      <c r="B1560" s="12" t="s">
        <v>1544</v>
      </c>
    </row>
    <row r="1561" spans="1:2" x14ac:dyDescent="0.25">
      <c r="A1561" s="11">
        <v>2268</v>
      </c>
      <c r="B1561" s="12" t="s">
        <v>1545</v>
      </c>
    </row>
    <row r="1562" spans="1:2" x14ac:dyDescent="0.25">
      <c r="A1562" s="11">
        <v>2276</v>
      </c>
      <c r="B1562" s="12" t="s">
        <v>1546</v>
      </c>
    </row>
    <row r="1563" spans="1:2" x14ac:dyDescent="0.25">
      <c r="A1563" s="11">
        <v>2302</v>
      </c>
      <c r="B1563" s="12" t="s">
        <v>674</v>
      </c>
    </row>
    <row r="1564" spans="1:2" x14ac:dyDescent="0.25">
      <c r="A1564" s="11">
        <v>2322</v>
      </c>
      <c r="B1564" s="12" t="s">
        <v>1547</v>
      </c>
    </row>
    <row r="1565" spans="1:2" x14ac:dyDescent="0.25">
      <c r="A1565" s="11">
        <v>2361</v>
      </c>
      <c r="B1565" s="12" t="s">
        <v>1548</v>
      </c>
    </row>
    <row r="1566" spans="1:2" x14ac:dyDescent="0.25">
      <c r="A1566" s="11">
        <v>2381</v>
      </c>
      <c r="B1566" s="12" t="s">
        <v>1549</v>
      </c>
    </row>
    <row r="1567" spans="1:2" x14ac:dyDescent="0.25">
      <c r="A1567" s="11">
        <v>2382</v>
      </c>
      <c r="B1567" s="12" t="s">
        <v>685</v>
      </c>
    </row>
    <row r="1568" spans="1:2" x14ac:dyDescent="0.25">
      <c r="A1568" s="11">
        <v>2383</v>
      </c>
      <c r="B1568" s="12" t="s">
        <v>1550</v>
      </c>
    </row>
    <row r="1569" spans="1:2" x14ac:dyDescent="0.25">
      <c r="A1569" s="11">
        <v>2413</v>
      </c>
      <c r="B1569" s="12" t="s">
        <v>689</v>
      </c>
    </row>
    <row r="1570" spans="1:2" x14ac:dyDescent="0.25">
      <c r="A1570" s="11">
        <v>2416</v>
      </c>
      <c r="B1570" s="12" t="s">
        <v>1551</v>
      </c>
    </row>
    <row r="1571" spans="1:2" x14ac:dyDescent="0.25">
      <c r="A1571" s="11">
        <v>2422</v>
      </c>
      <c r="B1571" s="12" t="s">
        <v>908</v>
      </c>
    </row>
    <row r="1572" spans="1:2" x14ac:dyDescent="0.25">
      <c r="A1572" s="11">
        <v>2424</v>
      </c>
      <c r="B1572" s="12" t="s">
        <v>1552</v>
      </c>
    </row>
    <row r="1573" spans="1:2" x14ac:dyDescent="0.25">
      <c r="A1573" s="11">
        <v>2426</v>
      </c>
      <c r="B1573" s="12" t="s">
        <v>691</v>
      </c>
    </row>
    <row r="1574" spans="1:2" x14ac:dyDescent="0.25">
      <c r="A1574" s="11">
        <v>2427</v>
      </c>
      <c r="B1574" s="12" t="s">
        <v>1553</v>
      </c>
    </row>
    <row r="1575" spans="1:2" x14ac:dyDescent="0.25">
      <c r="A1575" s="11">
        <v>2428</v>
      </c>
      <c r="B1575" s="12" t="s">
        <v>1554</v>
      </c>
    </row>
    <row r="1576" spans="1:2" x14ac:dyDescent="0.25">
      <c r="A1576" s="11">
        <v>2440</v>
      </c>
      <c r="B1576" s="12" t="s">
        <v>693</v>
      </c>
    </row>
    <row r="1577" spans="1:2" x14ac:dyDescent="0.25">
      <c r="A1577" s="11">
        <v>2454</v>
      </c>
      <c r="B1577" s="12" t="s">
        <v>1555</v>
      </c>
    </row>
    <row r="1578" spans="1:2" x14ac:dyDescent="0.25">
      <c r="A1578" s="11">
        <v>2488</v>
      </c>
      <c r="B1578" s="12" t="s">
        <v>1556</v>
      </c>
    </row>
    <row r="1579" spans="1:2" x14ac:dyDescent="0.25">
      <c r="A1579" s="11">
        <v>2489</v>
      </c>
      <c r="B1579" s="12" t="s">
        <v>1557</v>
      </c>
    </row>
    <row r="1580" spans="1:2" x14ac:dyDescent="0.25">
      <c r="A1580" s="11">
        <v>2490</v>
      </c>
      <c r="B1580" s="12" t="s">
        <v>1558</v>
      </c>
    </row>
    <row r="1581" spans="1:2" x14ac:dyDescent="0.25">
      <c r="A1581" s="11">
        <v>2491</v>
      </c>
      <c r="B1581" s="12" t="s">
        <v>1526</v>
      </c>
    </row>
    <row r="1582" spans="1:2" x14ac:dyDescent="0.25">
      <c r="A1582" s="11">
        <v>2571</v>
      </c>
      <c r="B1582" s="12" t="s">
        <v>1559</v>
      </c>
    </row>
    <row r="1583" spans="1:2" x14ac:dyDescent="0.25">
      <c r="A1583" s="11">
        <v>2572</v>
      </c>
      <c r="B1583" s="12" t="s">
        <v>1560</v>
      </c>
    </row>
    <row r="1584" spans="1:2" x14ac:dyDescent="0.25">
      <c r="A1584" s="11">
        <v>2573</v>
      </c>
      <c r="B1584" s="12" t="s">
        <v>1561</v>
      </c>
    </row>
    <row r="1585" spans="1:2" x14ac:dyDescent="0.25">
      <c r="A1585" s="11">
        <v>2575</v>
      </c>
      <c r="B1585" s="12" t="s">
        <v>1562</v>
      </c>
    </row>
    <row r="1586" spans="1:2" x14ac:dyDescent="0.25">
      <c r="A1586" s="11">
        <v>2580</v>
      </c>
      <c r="B1586" s="12" t="s">
        <v>1563</v>
      </c>
    </row>
    <row r="1587" spans="1:2" x14ac:dyDescent="0.25">
      <c r="A1587" s="11">
        <v>2581</v>
      </c>
      <c r="B1587" s="12" t="s">
        <v>1564</v>
      </c>
    </row>
    <row r="1588" spans="1:2" x14ac:dyDescent="0.25">
      <c r="A1588" s="11">
        <v>2582</v>
      </c>
      <c r="B1588" s="12" t="s">
        <v>1565</v>
      </c>
    </row>
    <row r="1589" spans="1:2" x14ac:dyDescent="0.25">
      <c r="A1589" s="11">
        <v>2583</v>
      </c>
      <c r="B1589" s="12" t="s">
        <v>1566</v>
      </c>
    </row>
    <row r="1590" spans="1:2" x14ac:dyDescent="0.25">
      <c r="A1590" s="11">
        <v>2584</v>
      </c>
      <c r="B1590" s="12" t="s">
        <v>1567</v>
      </c>
    </row>
    <row r="1591" spans="1:2" x14ac:dyDescent="0.25">
      <c r="A1591" s="11">
        <v>2585</v>
      </c>
      <c r="B1591" s="12" t="s">
        <v>1568</v>
      </c>
    </row>
    <row r="1592" spans="1:2" x14ac:dyDescent="0.25">
      <c r="A1592" s="11">
        <v>2586</v>
      </c>
      <c r="B1592" s="12" t="s">
        <v>710</v>
      </c>
    </row>
    <row r="1593" spans="1:2" x14ac:dyDescent="0.25">
      <c r="A1593" s="11">
        <v>2611</v>
      </c>
      <c r="B1593" s="12" t="s">
        <v>712</v>
      </c>
    </row>
    <row r="1594" spans="1:2" x14ac:dyDescent="0.25">
      <c r="A1594" s="11">
        <v>2612</v>
      </c>
      <c r="B1594" s="12" t="s">
        <v>1569</v>
      </c>
    </row>
    <row r="1595" spans="1:2" x14ac:dyDescent="0.25">
      <c r="A1595" s="11">
        <v>2613</v>
      </c>
      <c r="B1595" s="12" t="s">
        <v>714</v>
      </c>
    </row>
    <row r="1596" spans="1:2" x14ac:dyDescent="0.25">
      <c r="A1596" s="11">
        <v>2636</v>
      </c>
      <c r="B1596" s="12" t="s">
        <v>718</v>
      </c>
    </row>
    <row r="1597" spans="1:2" x14ac:dyDescent="0.25">
      <c r="A1597" s="11">
        <v>2639</v>
      </c>
      <c r="B1597" s="12" t="s">
        <v>1570</v>
      </c>
    </row>
    <row r="1598" spans="1:2" x14ac:dyDescent="0.25">
      <c r="A1598" s="11">
        <v>2642</v>
      </c>
      <c r="B1598" s="12" t="s">
        <v>1571</v>
      </c>
    </row>
    <row r="1599" spans="1:2" x14ac:dyDescent="0.25">
      <c r="A1599" s="11">
        <v>2643</v>
      </c>
      <c r="B1599" s="12" t="s">
        <v>1572</v>
      </c>
    </row>
    <row r="1600" spans="1:2" x14ac:dyDescent="0.25">
      <c r="A1600" s="11">
        <v>2644</v>
      </c>
      <c r="B1600" s="12" t="s">
        <v>1573</v>
      </c>
    </row>
    <row r="1601" spans="1:2" x14ac:dyDescent="0.25">
      <c r="A1601" s="11">
        <v>2652</v>
      </c>
      <c r="B1601" s="12" t="s">
        <v>1574</v>
      </c>
    </row>
    <row r="1602" spans="1:2" x14ac:dyDescent="0.25">
      <c r="A1602" s="11">
        <v>2654</v>
      </c>
      <c r="B1602" s="12" t="s">
        <v>1575</v>
      </c>
    </row>
    <row r="1603" spans="1:2" x14ac:dyDescent="0.25">
      <c r="A1603" s="11">
        <v>2656</v>
      </c>
      <c r="B1603" s="12" t="s">
        <v>1576</v>
      </c>
    </row>
    <row r="1604" spans="1:2" x14ac:dyDescent="0.25">
      <c r="A1604" s="11">
        <v>2657</v>
      </c>
      <c r="B1604" s="12" t="s">
        <v>1577</v>
      </c>
    </row>
    <row r="1605" spans="1:2" x14ac:dyDescent="0.25">
      <c r="A1605" s="11">
        <v>2658</v>
      </c>
      <c r="B1605" s="12" t="s">
        <v>1578</v>
      </c>
    </row>
    <row r="1606" spans="1:2" x14ac:dyDescent="0.25">
      <c r="A1606" s="11">
        <v>2659</v>
      </c>
      <c r="B1606" s="12" t="s">
        <v>1579</v>
      </c>
    </row>
    <row r="1607" spans="1:2" x14ac:dyDescent="0.25">
      <c r="A1607" s="11">
        <v>2703</v>
      </c>
      <c r="B1607" s="12" t="s">
        <v>1580</v>
      </c>
    </row>
    <row r="1608" spans="1:2" x14ac:dyDescent="0.25">
      <c r="A1608" s="11">
        <v>2704</v>
      </c>
      <c r="B1608" s="12" t="s">
        <v>1581</v>
      </c>
    </row>
    <row r="1609" spans="1:2" x14ac:dyDescent="0.25">
      <c r="A1609" s="11">
        <v>2733</v>
      </c>
      <c r="B1609" s="12" t="s">
        <v>1582</v>
      </c>
    </row>
    <row r="1610" spans="1:2" x14ac:dyDescent="0.25">
      <c r="A1610" s="11">
        <v>2734</v>
      </c>
      <c r="B1610" s="12" t="s">
        <v>1583</v>
      </c>
    </row>
    <row r="1611" spans="1:2" x14ac:dyDescent="0.25">
      <c r="A1611" s="11">
        <v>2735</v>
      </c>
      <c r="B1611" s="12" t="s">
        <v>1584</v>
      </c>
    </row>
    <row r="1612" spans="1:2" x14ac:dyDescent="0.25">
      <c r="A1612" s="11">
        <v>2745</v>
      </c>
      <c r="B1612" s="12" t="s">
        <v>1585</v>
      </c>
    </row>
    <row r="1613" spans="1:2" x14ac:dyDescent="0.25">
      <c r="A1613" s="11">
        <v>2777</v>
      </c>
      <c r="B1613" s="12" t="s">
        <v>1586</v>
      </c>
    </row>
    <row r="1614" spans="1:2" x14ac:dyDescent="0.25">
      <c r="A1614" s="11">
        <v>2778</v>
      </c>
      <c r="B1614" s="12" t="s">
        <v>1587</v>
      </c>
    </row>
    <row r="1615" spans="1:2" x14ac:dyDescent="0.25">
      <c r="A1615" s="11">
        <v>2779</v>
      </c>
      <c r="B1615" s="12" t="s">
        <v>1588</v>
      </c>
    </row>
    <row r="1616" spans="1:2" x14ac:dyDescent="0.25">
      <c r="A1616" s="11">
        <v>2780</v>
      </c>
      <c r="B1616" s="12" t="s">
        <v>1589</v>
      </c>
    </row>
    <row r="1617" spans="1:2" x14ac:dyDescent="0.25">
      <c r="A1617" s="11">
        <v>2782</v>
      </c>
      <c r="B1617" s="12" t="s">
        <v>1590</v>
      </c>
    </row>
    <row r="1618" spans="1:2" x14ac:dyDescent="0.25">
      <c r="A1618" s="11">
        <v>2808</v>
      </c>
      <c r="B1618" s="12" t="s">
        <v>1591</v>
      </c>
    </row>
    <row r="1619" spans="1:2" x14ac:dyDescent="0.25">
      <c r="A1619" s="11">
        <v>2809</v>
      </c>
      <c r="B1619" s="12" t="s">
        <v>1592</v>
      </c>
    </row>
    <row r="1620" spans="1:2" x14ac:dyDescent="0.25">
      <c r="A1620" s="11">
        <v>2810</v>
      </c>
      <c r="B1620" s="12" t="s">
        <v>1593</v>
      </c>
    </row>
    <row r="1621" spans="1:2" x14ac:dyDescent="0.25">
      <c r="A1621" s="11">
        <v>2811</v>
      </c>
      <c r="B1621" s="12" t="s">
        <v>1594</v>
      </c>
    </row>
    <row r="1622" spans="1:2" x14ac:dyDescent="0.25">
      <c r="A1622" s="11">
        <v>2812</v>
      </c>
      <c r="B1622" s="12" t="s">
        <v>1595</v>
      </c>
    </row>
    <row r="1623" spans="1:2" x14ac:dyDescent="0.25">
      <c r="A1623" s="11">
        <v>2817</v>
      </c>
      <c r="B1623" s="12" t="s">
        <v>1596</v>
      </c>
    </row>
    <row r="1624" spans="1:2" x14ac:dyDescent="0.25">
      <c r="A1624" s="11">
        <v>2830</v>
      </c>
      <c r="B1624" s="12" t="s">
        <v>1597</v>
      </c>
    </row>
    <row r="1625" spans="1:2" x14ac:dyDescent="0.25">
      <c r="A1625" s="11">
        <v>2850</v>
      </c>
      <c r="B1625" s="12" t="s">
        <v>1598</v>
      </c>
    </row>
    <row r="1626" spans="1:2" x14ac:dyDescent="0.25">
      <c r="A1626" s="11">
        <v>2851</v>
      </c>
      <c r="B1626" s="12" t="s">
        <v>1599</v>
      </c>
    </row>
    <row r="1627" spans="1:2" x14ac:dyDescent="0.25">
      <c r="A1627" s="11">
        <v>2852</v>
      </c>
      <c r="B1627" s="12" t="s">
        <v>1600</v>
      </c>
    </row>
    <row r="1628" spans="1:2" x14ac:dyDescent="0.25">
      <c r="A1628" s="11">
        <v>2853</v>
      </c>
      <c r="B1628" s="12" t="s">
        <v>1601</v>
      </c>
    </row>
    <row r="1629" spans="1:2" x14ac:dyDescent="0.25">
      <c r="A1629" s="11">
        <v>2863</v>
      </c>
      <c r="B1629" s="12" t="s">
        <v>1602</v>
      </c>
    </row>
    <row r="1630" spans="1:2" x14ac:dyDescent="0.25">
      <c r="A1630" s="11">
        <v>2864</v>
      </c>
      <c r="B1630" s="12" t="s">
        <v>1603</v>
      </c>
    </row>
    <row r="1631" spans="1:2" x14ac:dyDescent="0.25">
      <c r="A1631" s="11">
        <v>2865</v>
      </c>
      <c r="B1631" s="12" t="s">
        <v>1604</v>
      </c>
    </row>
    <row r="1632" spans="1:2" x14ac:dyDescent="0.25">
      <c r="A1632" s="11">
        <v>2866</v>
      </c>
      <c r="B1632" s="12" t="s">
        <v>1605</v>
      </c>
    </row>
    <row r="1633" spans="1:2" x14ac:dyDescent="0.25">
      <c r="A1633" s="11">
        <v>2887</v>
      </c>
      <c r="B1633" s="12" t="s">
        <v>1606</v>
      </c>
    </row>
    <row r="1634" spans="1:2" x14ac:dyDescent="0.25">
      <c r="A1634" s="11">
        <v>2895</v>
      </c>
      <c r="B1634" s="12" t="s">
        <v>1607</v>
      </c>
    </row>
    <row r="1635" spans="1:2" x14ac:dyDescent="0.25">
      <c r="A1635" s="11">
        <v>2896</v>
      </c>
      <c r="B1635" s="12" t="s">
        <v>1608</v>
      </c>
    </row>
    <row r="1636" spans="1:2" x14ac:dyDescent="0.25">
      <c r="A1636" s="11">
        <v>2923</v>
      </c>
      <c r="B1636" s="12" t="s">
        <v>1609</v>
      </c>
    </row>
    <row r="1637" spans="1:2" x14ac:dyDescent="0.25">
      <c r="A1637" s="11">
        <v>2924</v>
      </c>
      <c r="B1637" s="12" t="s">
        <v>1610</v>
      </c>
    </row>
    <row r="1638" spans="1:2" x14ac:dyDescent="0.25">
      <c r="A1638" s="11">
        <v>2972</v>
      </c>
      <c r="B1638" s="12" t="s">
        <v>796</v>
      </c>
    </row>
    <row r="1639" spans="1:2" x14ac:dyDescent="0.25">
      <c r="A1639" s="11">
        <v>2973</v>
      </c>
      <c r="B1639" s="12" t="s">
        <v>1611</v>
      </c>
    </row>
    <row r="1640" spans="1:2" x14ac:dyDescent="0.25">
      <c r="A1640" s="11">
        <v>2974</v>
      </c>
      <c r="B1640" s="12" t="s">
        <v>798</v>
      </c>
    </row>
    <row r="1641" spans="1:2" x14ac:dyDescent="0.25">
      <c r="A1641" s="11">
        <v>2981</v>
      </c>
      <c r="B1641" s="12" t="s">
        <v>1612</v>
      </c>
    </row>
    <row r="1642" spans="1:2" x14ac:dyDescent="0.25">
      <c r="A1642" s="11">
        <v>2982</v>
      </c>
      <c r="B1642" s="12" t="s">
        <v>1613</v>
      </c>
    </row>
    <row r="1643" spans="1:2" x14ac:dyDescent="0.25">
      <c r="A1643" s="11">
        <v>2983</v>
      </c>
      <c r="B1643" s="12" t="s">
        <v>801</v>
      </c>
    </row>
    <row r="1644" spans="1:2" x14ac:dyDescent="0.25">
      <c r="A1644" s="11">
        <v>2995</v>
      </c>
      <c r="B1644" s="12" t="s">
        <v>1614</v>
      </c>
    </row>
    <row r="1645" spans="1:2" x14ac:dyDescent="0.25">
      <c r="A1645" s="11">
        <v>2997</v>
      </c>
      <c r="B1645" s="12" t="s">
        <v>1021</v>
      </c>
    </row>
    <row r="1646" spans="1:2" x14ac:dyDescent="0.25">
      <c r="A1646" s="11">
        <v>3062</v>
      </c>
      <c r="B1646" s="12" t="s">
        <v>810</v>
      </c>
    </row>
    <row r="1647" spans="1:2" x14ac:dyDescent="0.25">
      <c r="A1647" s="11">
        <v>3063</v>
      </c>
      <c r="B1647" s="12" t="s">
        <v>812</v>
      </c>
    </row>
    <row r="1648" spans="1:2" x14ac:dyDescent="0.25">
      <c r="A1648" s="11" t="s">
        <v>1197</v>
      </c>
    </row>
    <row r="1649" spans="1:2" x14ac:dyDescent="0.25">
      <c r="A1649" s="11">
        <v>1001</v>
      </c>
      <c r="B1649" s="12" t="s">
        <v>1615</v>
      </c>
    </row>
    <row r="1650" spans="1:2" x14ac:dyDescent="0.25">
      <c r="A1650" s="11">
        <v>1002</v>
      </c>
      <c r="B1650" s="12" t="s">
        <v>1616</v>
      </c>
    </row>
    <row r="1651" spans="1:2" x14ac:dyDescent="0.25">
      <c r="A1651" s="11">
        <v>1003</v>
      </c>
      <c r="B1651" s="12" t="s">
        <v>1617</v>
      </c>
    </row>
    <row r="1652" spans="1:2" x14ac:dyDescent="0.25">
      <c r="A1652" s="11">
        <v>1004</v>
      </c>
      <c r="B1652" s="12" t="s">
        <v>447</v>
      </c>
    </row>
    <row r="1653" spans="1:2" x14ac:dyDescent="0.25">
      <c r="A1653" s="11">
        <v>1005</v>
      </c>
      <c r="B1653" s="12" t="s">
        <v>448</v>
      </c>
    </row>
    <row r="1654" spans="1:2" x14ac:dyDescent="0.25">
      <c r="A1654" s="11">
        <v>1006</v>
      </c>
      <c r="B1654" s="12" t="s">
        <v>449</v>
      </c>
    </row>
    <row r="1655" spans="1:2" x14ac:dyDescent="0.25">
      <c r="A1655" s="11">
        <v>1007</v>
      </c>
      <c r="B1655" s="12" t="s">
        <v>1618</v>
      </c>
    </row>
    <row r="1656" spans="1:2" x14ac:dyDescent="0.25">
      <c r="A1656" s="11">
        <v>1008</v>
      </c>
      <c r="B1656" s="12" t="s">
        <v>1619</v>
      </c>
    </row>
    <row r="1657" spans="1:2" x14ac:dyDescent="0.25">
      <c r="A1657" s="11">
        <v>1010</v>
      </c>
      <c r="B1657" s="12" t="s">
        <v>1620</v>
      </c>
    </row>
    <row r="1658" spans="1:2" x14ac:dyDescent="0.25">
      <c r="A1658" s="11">
        <v>1012</v>
      </c>
      <c r="B1658" s="12" t="s">
        <v>1621</v>
      </c>
    </row>
    <row r="1659" spans="1:2" x14ac:dyDescent="0.25">
      <c r="A1659" s="11">
        <v>1013</v>
      </c>
      <c r="B1659" s="12" t="s">
        <v>450</v>
      </c>
    </row>
    <row r="1660" spans="1:2" x14ac:dyDescent="0.25">
      <c r="A1660" s="11">
        <v>1014</v>
      </c>
      <c r="B1660" s="12" t="s">
        <v>1622</v>
      </c>
    </row>
    <row r="1661" spans="1:2" x14ac:dyDescent="0.25">
      <c r="A1661" s="11">
        <v>1015</v>
      </c>
      <c r="B1661" s="12" t="s">
        <v>1623</v>
      </c>
    </row>
    <row r="1662" spans="1:2" x14ac:dyDescent="0.25">
      <c r="A1662" s="11">
        <v>1016</v>
      </c>
      <c r="B1662" s="12" t="s">
        <v>1624</v>
      </c>
    </row>
    <row r="1663" spans="1:2" x14ac:dyDescent="0.25">
      <c r="A1663" s="11">
        <v>1017</v>
      </c>
      <c r="B1663" s="12" t="s">
        <v>451</v>
      </c>
    </row>
    <row r="1664" spans="1:2" x14ac:dyDescent="0.25">
      <c r="A1664" s="11">
        <v>1018</v>
      </c>
      <c r="B1664" s="12" t="s">
        <v>1625</v>
      </c>
    </row>
    <row r="1665" spans="1:2" x14ac:dyDescent="0.25">
      <c r="A1665" s="11">
        <v>1019</v>
      </c>
      <c r="B1665" s="12" t="s">
        <v>452</v>
      </c>
    </row>
    <row r="1666" spans="1:2" x14ac:dyDescent="0.25">
      <c r="A1666" s="11">
        <v>1023</v>
      </c>
      <c r="B1666" s="12" t="s">
        <v>453</v>
      </c>
    </row>
    <row r="1667" spans="1:2" x14ac:dyDescent="0.25">
      <c r="A1667" s="11">
        <v>1025</v>
      </c>
      <c r="B1667" s="12" t="s">
        <v>1626</v>
      </c>
    </row>
    <row r="1668" spans="1:2" x14ac:dyDescent="0.25">
      <c r="A1668" s="11">
        <v>1026</v>
      </c>
      <c r="B1668" s="12" t="s">
        <v>1627</v>
      </c>
    </row>
    <row r="1669" spans="1:2" x14ac:dyDescent="0.25">
      <c r="A1669" s="11">
        <v>1030</v>
      </c>
      <c r="B1669" s="12" t="s">
        <v>1628</v>
      </c>
    </row>
    <row r="1670" spans="1:2" x14ac:dyDescent="0.25">
      <c r="A1670" s="11">
        <v>1038</v>
      </c>
      <c r="B1670" s="12" t="s">
        <v>1629</v>
      </c>
    </row>
    <row r="1671" spans="1:2" x14ac:dyDescent="0.25">
      <c r="A1671" s="11">
        <v>1039</v>
      </c>
      <c r="B1671" s="12" t="s">
        <v>1630</v>
      </c>
    </row>
    <row r="1672" spans="1:2" x14ac:dyDescent="0.25">
      <c r="A1672" s="11">
        <v>1040</v>
      </c>
      <c r="B1672" s="12" t="s">
        <v>1631</v>
      </c>
    </row>
    <row r="1673" spans="1:2" x14ac:dyDescent="0.25">
      <c r="A1673" s="11">
        <v>1041</v>
      </c>
      <c r="B1673" s="12" t="s">
        <v>1632</v>
      </c>
    </row>
    <row r="1674" spans="1:2" x14ac:dyDescent="0.25">
      <c r="A1674" s="11">
        <v>1049</v>
      </c>
      <c r="B1674" s="12" t="s">
        <v>455</v>
      </c>
    </row>
    <row r="1675" spans="1:2" x14ac:dyDescent="0.25">
      <c r="A1675" s="11">
        <v>1050</v>
      </c>
      <c r="B1675" s="12" t="s">
        <v>456</v>
      </c>
    </row>
    <row r="1676" spans="1:2" x14ac:dyDescent="0.25">
      <c r="A1676" s="11">
        <v>1085</v>
      </c>
      <c r="B1676" s="12" t="s">
        <v>457</v>
      </c>
    </row>
    <row r="1677" spans="1:2" x14ac:dyDescent="0.25">
      <c r="A1677" s="11">
        <v>2297</v>
      </c>
      <c r="B1677" s="12" t="s">
        <v>906</v>
      </c>
    </row>
    <row r="1678" spans="1:2" x14ac:dyDescent="0.25">
      <c r="A1678" s="11">
        <v>2298</v>
      </c>
      <c r="B1678" s="12" t="s">
        <v>672</v>
      </c>
    </row>
    <row r="1679" spans="1:2" x14ac:dyDescent="0.25">
      <c r="A1679" s="11">
        <v>2317</v>
      </c>
      <c r="B1679" s="12" t="s">
        <v>678</v>
      </c>
    </row>
    <row r="1680" spans="1:2" x14ac:dyDescent="0.25">
      <c r="A1680" s="11">
        <v>2441</v>
      </c>
      <c r="B1680" s="12" t="s">
        <v>695</v>
      </c>
    </row>
    <row r="1681" spans="1:2" x14ac:dyDescent="0.25">
      <c r="A1681" s="11">
        <v>2494</v>
      </c>
      <c r="B1681" s="12" t="s">
        <v>1633</v>
      </c>
    </row>
    <row r="1682" spans="1:2" x14ac:dyDescent="0.25">
      <c r="A1682" s="11">
        <v>2499</v>
      </c>
      <c r="B1682" s="12" t="s">
        <v>1634</v>
      </c>
    </row>
    <row r="1683" spans="1:2" x14ac:dyDescent="0.25">
      <c r="A1683" s="11">
        <v>2699</v>
      </c>
      <c r="B1683" s="12" t="s">
        <v>727</v>
      </c>
    </row>
    <row r="1684" spans="1:2" x14ac:dyDescent="0.25">
      <c r="A1684" s="11">
        <v>2705</v>
      </c>
      <c r="B1684" s="12" t="s">
        <v>1635</v>
      </c>
    </row>
    <row r="1685" spans="1:2" x14ac:dyDescent="0.25">
      <c r="A1685" s="11">
        <v>2928</v>
      </c>
      <c r="B1685" s="12" t="s">
        <v>1636</v>
      </c>
    </row>
    <row r="1686" spans="1:2" x14ac:dyDescent="0.25">
      <c r="A1686" s="11">
        <v>2994</v>
      </c>
      <c r="B1686" s="12" t="s">
        <v>1637</v>
      </c>
    </row>
    <row r="1687" spans="1:2" x14ac:dyDescent="0.25">
      <c r="A1687" s="11">
        <v>1126</v>
      </c>
      <c r="B1687" s="12" t="s">
        <v>1003</v>
      </c>
    </row>
    <row r="1688" spans="1:2" x14ac:dyDescent="0.25">
      <c r="A1688" s="11">
        <v>1128</v>
      </c>
      <c r="B1688" s="12" t="s">
        <v>893</v>
      </c>
    </row>
    <row r="1689" spans="1:2" x14ac:dyDescent="0.25">
      <c r="A1689" s="11">
        <v>1129</v>
      </c>
      <c r="B1689" s="12" t="s">
        <v>1004</v>
      </c>
    </row>
    <row r="1690" spans="1:2" x14ac:dyDescent="0.25">
      <c r="A1690" s="11">
        <v>1130</v>
      </c>
      <c r="B1690" s="12" t="s">
        <v>1638</v>
      </c>
    </row>
    <row r="1691" spans="1:2" x14ac:dyDescent="0.25">
      <c r="A1691" s="11">
        <v>1131</v>
      </c>
      <c r="B1691" s="12" t="s">
        <v>1639</v>
      </c>
    </row>
    <row r="1692" spans="1:2" x14ac:dyDescent="0.25">
      <c r="A1692" s="11">
        <v>1132</v>
      </c>
      <c r="B1692" s="12" t="s">
        <v>459</v>
      </c>
    </row>
    <row r="1693" spans="1:2" x14ac:dyDescent="0.25">
      <c r="A1693" s="11">
        <v>1134</v>
      </c>
      <c r="B1693" s="12" t="s">
        <v>1640</v>
      </c>
    </row>
    <row r="1694" spans="1:2" x14ac:dyDescent="0.25">
      <c r="A1694" s="11">
        <v>1135</v>
      </c>
      <c r="B1694" s="12" t="s">
        <v>1641</v>
      </c>
    </row>
    <row r="1695" spans="1:2" x14ac:dyDescent="0.25">
      <c r="A1695" s="11">
        <v>1137</v>
      </c>
      <c r="B1695" s="12" t="s">
        <v>894</v>
      </c>
    </row>
    <row r="1696" spans="1:2" x14ac:dyDescent="0.25">
      <c r="A1696" s="11">
        <v>1138</v>
      </c>
      <c r="B1696" s="12" t="s">
        <v>460</v>
      </c>
    </row>
    <row r="1697" spans="1:2" x14ac:dyDescent="0.25">
      <c r="A1697" s="11">
        <v>1139</v>
      </c>
      <c r="B1697" s="12" t="s">
        <v>1642</v>
      </c>
    </row>
    <row r="1698" spans="1:2" x14ac:dyDescent="0.25">
      <c r="A1698" s="11">
        <v>1140</v>
      </c>
      <c r="B1698" s="12" t="s">
        <v>1643</v>
      </c>
    </row>
    <row r="1699" spans="1:2" x14ac:dyDescent="0.25">
      <c r="A1699" s="11">
        <v>1141</v>
      </c>
      <c r="B1699" s="12" t="s">
        <v>895</v>
      </c>
    </row>
    <row r="1700" spans="1:2" x14ac:dyDescent="0.25">
      <c r="A1700" s="11">
        <v>1142</v>
      </c>
      <c r="B1700" s="12" t="s">
        <v>1644</v>
      </c>
    </row>
    <row r="1701" spans="1:2" x14ac:dyDescent="0.25">
      <c r="A1701" s="11">
        <v>1143</v>
      </c>
      <c r="B1701" s="12" t="s">
        <v>1645</v>
      </c>
    </row>
    <row r="1702" spans="1:2" x14ac:dyDescent="0.25">
      <c r="A1702" s="11">
        <v>1144</v>
      </c>
      <c r="B1702" s="12" t="s">
        <v>1646</v>
      </c>
    </row>
    <row r="1703" spans="1:2" x14ac:dyDescent="0.25">
      <c r="A1703" s="11">
        <v>1148</v>
      </c>
      <c r="B1703" s="12" t="s">
        <v>1647</v>
      </c>
    </row>
    <row r="1704" spans="1:2" x14ac:dyDescent="0.25">
      <c r="A1704" s="11">
        <v>1149</v>
      </c>
      <c r="B1704" s="12" t="s">
        <v>1648</v>
      </c>
    </row>
    <row r="1705" spans="1:2" x14ac:dyDescent="0.25">
      <c r="A1705" s="11">
        <v>1150</v>
      </c>
      <c r="B1705" s="12" t="s">
        <v>1649</v>
      </c>
    </row>
    <row r="1706" spans="1:2" x14ac:dyDescent="0.25">
      <c r="A1706" s="11">
        <v>1151</v>
      </c>
      <c r="B1706" s="12" t="s">
        <v>462</v>
      </c>
    </row>
    <row r="1707" spans="1:2" x14ac:dyDescent="0.25">
      <c r="A1707" s="11">
        <v>1153</v>
      </c>
      <c r="B1707" s="12" t="s">
        <v>1650</v>
      </c>
    </row>
    <row r="1708" spans="1:2" x14ac:dyDescent="0.25">
      <c r="A1708" s="11">
        <v>1156</v>
      </c>
      <c r="B1708" s="12" t="s">
        <v>1651</v>
      </c>
    </row>
    <row r="1709" spans="1:2" x14ac:dyDescent="0.25">
      <c r="A1709" s="11">
        <v>1157</v>
      </c>
      <c r="B1709" s="12" t="s">
        <v>1652</v>
      </c>
    </row>
    <row r="1710" spans="1:2" x14ac:dyDescent="0.25">
      <c r="A1710" s="11">
        <v>1159</v>
      </c>
      <c r="B1710" s="12" t="s">
        <v>1653</v>
      </c>
    </row>
    <row r="1711" spans="1:2" x14ac:dyDescent="0.25">
      <c r="A1711" s="11">
        <v>1160</v>
      </c>
      <c r="B1711" s="12" t="s">
        <v>464</v>
      </c>
    </row>
    <row r="1712" spans="1:2" x14ac:dyDescent="0.25">
      <c r="A1712" s="11">
        <v>1174</v>
      </c>
      <c r="B1712" s="12" t="s">
        <v>465</v>
      </c>
    </row>
    <row r="1713" spans="1:2" x14ac:dyDescent="0.25">
      <c r="A1713" s="11">
        <v>1175</v>
      </c>
      <c r="B1713" s="12" t="s">
        <v>896</v>
      </c>
    </row>
    <row r="1714" spans="1:2" x14ac:dyDescent="0.25">
      <c r="A1714" s="11">
        <v>1176</v>
      </c>
      <c r="B1714" s="12" t="s">
        <v>897</v>
      </c>
    </row>
    <row r="1715" spans="1:2" x14ac:dyDescent="0.25">
      <c r="A1715" s="11">
        <v>2513</v>
      </c>
      <c r="B1715" s="12" t="s">
        <v>1654</v>
      </c>
    </row>
    <row r="1716" spans="1:2" x14ac:dyDescent="0.25">
      <c r="A1716" s="11">
        <v>2514</v>
      </c>
      <c r="B1716" s="12" t="s">
        <v>1655</v>
      </c>
    </row>
    <row r="1717" spans="1:2" x14ac:dyDescent="0.25">
      <c r="A1717" s="11">
        <v>2716</v>
      </c>
      <c r="B1717" s="12" t="s">
        <v>729</v>
      </c>
    </row>
    <row r="1718" spans="1:2" x14ac:dyDescent="0.25">
      <c r="A1718" s="11">
        <v>2816</v>
      </c>
      <c r="B1718" s="12" t="s">
        <v>1656</v>
      </c>
    </row>
    <row r="1719" spans="1:2" x14ac:dyDescent="0.25">
      <c r="A1719" s="11">
        <v>2819</v>
      </c>
      <c r="B1719" s="12" t="s">
        <v>910</v>
      </c>
    </row>
    <row r="1720" spans="1:2" x14ac:dyDescent="0.25">
      <c r="A1720" s="11">
        <v>2820</v>
      </c>
      <c r="B1720" s="12" t="s">
        <v>1657</v>
      </c>
    </row>
    <row r="1721" spans="1:2" x14ac:dyDescent="0.25">
      <c r="A1721" s="11">
        <v>2913</v>
      </c>
      <c r="B1721" s="12" t="s">
        <v>1658</v>
      </c>
    </row>
    <row r="1722" spans="1:2" x14ac:dyDescent="0.25">
      <c r="A1722" s="11">
        <v>2929</v>
      </c>
      <c r="B1722" s="12" t="s">
        <v>1659</v>
      </c>
    </row>
    <row r="1723" spans="1:2" x14ac:dyDescent="0.25">
      <c r="A1723" s="11">
        <v>2964</v>
      </c>
      <c r="B1723" s="12" t="s">
        <v>1660</v>
      </c>
    </row>
    <row r="1724" spans="1:2" x14ac:dyDescent="0.25">
      <c r="A1724" s="11">
        <v>3061</v>
      </c>
      <c r="B1724" s="12" t="s">
        <v>1661</v>
      </c>
    </row>
    <row r="1725" spans="1:2" x14ac:dyDescent="0.25">
      <c r="A1725" s="11">
        <v>3069</v>
      </c>
      <c r="B1725" s="12" t="s">
        <v>1662</v>
      </c>
    </row>
    <row r="1726" spans="1:2" x14ac:dyDescent="0.25">
      <c r="A1726" s="11">
        <v>12846</v>
      </c>
      <c r="B1726" s="12" t="s">
        <v>1663</v>
      </c>
    </row>
    <row r="1727" spans="1:2" x14ac:dyDescent="0.25">
      <c r="A1727" s="11">
        <v>12867</v>
      </c>
      <c r="B1727" s="12" t="s">
        <v>1664</v>
      </c>
    </row>
    <row r="1728" spans="1:2" x14ac:dyDescent="0.25">
      <c r="A1728" s="11">
        <v>12868</v>
      </c>
      <c r="B1728" s="12" t="s">
        <v>1665</v>
      </c>
    </row>
    <row r="1729" spans="1:2" x14ac:dyDescent="0.25">
      <c r="A1729" s="11">
        <v>12872</v>
      </c>
      <c r="B1729" s="12" t="s">
        <v>1666</v>
      </c>
    </row>
    <row r="1730" spans="1:2" x14ac:dyDescent="0.25">
      <c r="A1730" s="11">
        <v>12874</v>
      </c>
      <c r="B1730" s="12" t="s">
        <v>1667</v>
      </c>
    </row>
    <row r="1731" spans="1:2" x14ac:dyDescent="0.25">
      <c r="A1731" s="11">
        <v>12875</v>
      </c>
      <c r="B1731" s="12" t="s">
        <v>1668</v>
      </c>
    </row>
    <row r="1732" spans="1:2" x14ac:dyDescent="0.25">
      <c r="A1732" s="11">
        <v>13556</v>
      </c>
      <c r="B1732" s="12" t="s">
        <v>1669</v>
      </c>
    </row>
    <row r="1733" spans="1:2" x14ac:dyDescent="0.25">
      <c r="A1733" s="11">
        <v>13928</v>
      </c>
      <c r="B1733" s="12" t="s">
        <v>1670</v>
      </c>
    </row>
    <row r="1734" spans="1:2" x14ac:dyDescent="0.25">
      <c r="A1734" s="11" t="s">
        <v>1198</v>
      </c>
    </row>
    <row r="1735" spans="1:2" x14ac:dyDescent="0.25">
      <c r="A1735" s="11">
        <v>1202</v>
      </c>
      <c r="B1735" s="12" t="s">
        <v>467</v>
      </c>
    </row>
    <row r="1736" spans="1:2" x14ac:dyDescent="0.25">
      <c r="A1736" s="11">
        <v>1203</v>
      </c>
      <c r="B1736" s="12" t="s">
        <v>469</v>
      </c>
    </row>
    <row r="1737" spans="1:2" x14ac:dyDescent="0.25">
      <c r="A1737" s="11">
        <v>1204</v>
      </c>
      <c r="B1737" s="12" t="s">
        <v>471</v>
      </c>
    </row>
    <row r="1738" spans="1:2" x14ac:dyDescent="0.25">
      <c r="A1738" s="11">
        <v>1205</v>
      </c>
      <c r="B1738" s="12" t="s">
        <v>473</v>
      </c>
    </row>
    <row r="1739" spans="1:2" x14ac:dyDescent="0.25">
      <c r="A1739" s="11">
        <v>1208</v>
      </c>
      <c r="B1739" s="12" t="s">
        <v>474</v>
      </c>
    </row>
    <row r="1740" spans="1:2" x14ac:dyDescent="0.25">
      <c r="A1740" s="11">
        <v>1213</v>
      </c>
      <c r="B1740" s="12" t="s">
        <v>476</v>
      </c>
    </row>
    <row r="1741" spans="1:2" x14ac:dyDescent="0.25">
      <c r="A1741" s="11">
        <v>1216</v>
      </c>
      <c r="B1741" s="12" t="s">
        <v>1005</v>
      </c>
    </row>
    <row r="1742" spans="1:2" x14ac:dyDescent="0.25">
      <c r="A1742" s="11">
        <v>1217</v>
      </c>
      <c r="B1742" s="12" t="s">
        <v>1671</v>
      </c>
    </row>
    <row r="1743" spans="1:2" x14ac:dyDescent="0.25">
      <c r="A1743" s="11">
        <v>1218</v>
      </c>
      <c r="B1743" s="12" t="s">
        <v>478</v>
      </c>
    </row>
    <row r="1744" spans="1:2" x14ac:dyDescent="0.25">
      <c r="A1744" s="11">
        <v>1219</v>
      </c>
      <c r="B1744" s="12" t="s">
        <v>480</v>
      </c>
    </row>
    <row r="1745" spans="1:2" x14ac:dyDescent="0.25">
      <c r="A1745" s="11">
        <v>1221</v>
      </c>
      <c r="B1745" s="12" t="s">
        <v>1672</v>
      </c>
    </row>
    <row r="1746" spans="1:2" x14ac:dyDescent="0.25">
      <c r="A1746" s="11">
        <v>1222</v>
      </c>
      <c r="B1746" s="12" t="s">
        <v>482</v>
      </c>
    </row>
    <row r="1747" spans="1:2" x14ac:dyDescent="0.25">
      <c r="A1747" s="11">
        <v>1223</v>
      </c>
      <c r="B1747" s="12" t="s">
        <v>1673</v>
      </c>
    </row>
    <row r="1748" spans="1:2" x14ac:dyDescent="0.25">
      <c r="A1748" s="11">
        <v>1224</v>
      </c>
      <c r="B1748" s="12" t="s">
        <v>1674</v>
      </c>
    </row>
    <row r="1749" spans="1:2" x14ac:dyDescent="0.25">
      <c r="A1749" s="11">
        <v>1225</v>
      </c>
      <c r="B1749" s="12" t="s">
        <v>484</v>
      </c>
    </row>
    <row r="1750" spans="1:2" x14ac:dyDescent="0.25">
      <c r="A1750" s="11">
        <v>1226</v>
      </c>
      <c r="B1750" s="12" t="s">
        <v>486</v>
      </c>
    </row>
    <row r="1751" spans="1:2" x14ac:dyDescent="0.25">
      <c r="A1751" s="11">
        <v>1228</v>
      </c>
      <c r="B1751" s="12" t="s">
        <v>1675</v>
      </c>
    </row>
    <row r="1752" spans="1:2" x14ac:dyDescent="0.25">
      <c r="A1752" s="11">
        <v>1229</v>
      </c>
      <c r="B1752" s="12" t="s">
        <v>1676</v>
      </c>
    </row>
    <row r="1753" spans="1:2" x14ac:dyDescent="0.25">
      <c r="A1753" s="11">
        <v>1230</v>
      </c>
      <c r="B1753" s="12" t="s">
        <v>487</v>
      </c>
    </row>
    <row r="1754" spans="1:2" x14ac:dyDescent="0.25">
      <c r="A1754" s="11">
        <v>1234</v>
      </c>
      <c r="B1754" s="12" t="s">
        <v>489</v>
      </c>
    </row>
    <row r="1755" spans="1:2" x14ac:dyDescent="0.25">
      <c r="A1755" s="11">
        <v>1238</v>
      </c>
      <c r="B1755" s="12" t="s">
        <v>1677</v>
      </c>
    </row>
    <row r="1756" spans="1:2" x14ac:dyDescent="0.25">
      <c r="A1756" s="11">
        <v>1241</v>
      </c>
      <c r="B1756" s="12" t="s">
        <v>1678</v>
      </c>
    </row>
    <row r="1757" spans="1:2" x14ac:dyDescent="0.25">
      <c r="A1757" s="11">
        <v>1242</v>
      </c>
      <c r="B1757" s="12" t="s">
        <v>1679</v>
      </c>
    </row>
    <row r="1758" spans="1:2" x14ac:dyDescent="0.25">
      <c r="A1758" s="11">
        <v>1244</v>
      </c>
      <c r="B1758" s="12" t="s">
        <v>1680</v>
      </c>
    </row>
    <row r="1759" spans="1:2" x14ac:dyDescent="0.25">
      <c r="A1759" s="11">
        <v>1247</v>
      </c>
      <c r="B1759" s="12" t="s">
        <v>1681</v>
      </c>
    </row>
    <row r="1760" spans="1:2" x14ac:dyDescent="0.25">
      <c r="A1760" s="11">
        <v>1249</v>
      </c>
      <c r="B1760" s="12" t="s">
        <v>1682</v>
      </c>
    </row>
    <row r="1761" spans="1:2" x14ac:dyDescent="0.25">
      <c r="A1761" s="11">
        <v>1251</v>
      </c>
      <c r="B1761" s="12" t="s">
        <v>1683</v>
      </c>
    </row>
    <row r="1762" spans="1:2" x14ac:dyDescent="0.25">
      <c r="A1762" s="11">
        <v>1252</v>
      </c>
      <c r="B1762" s="12" t="s">
        <v>1684</v>
      </c>
    </row>
    <row r="1763" spans="1:2" x14ac:dyDescent="0.25">
      <c r="A1763" s="11">
        <v>1253</v>
      </c>
      <c r="B1763" s="12" t="s">
        <v>490</v>
      </c>
    </row>
    <row r="1764" spans="1:2" x14ac:dyDescent="0.25">
      <c r="A1764" s="11">
        <v>1254</v>
      </c>
      <c r="B1764" s="12" t="s">
        <v>492</v>
      </c>
    </row>
    <row r="1765" spans="1:2" x14ac:dyDescent="0.25">
      <c r="A1765" s="11">
        <v>1257</v>
      </c>
      <c r="B1765" s="12" t="s">
        <v>493</v>
      </c>
    </row>
    <row r="1766" spans="1:2" x14ac:dyDescent="0.25">
      <c r="A1766" s="11">
        <v>1260</v>
      </c>
      <c r="B1766" s="12" t="s">
        <v>495</v>
      </c>
    </row>
    <row r="1767" spans="1:2" x14ac:dyDescent="0.25">
      <c r="A1767" s="11">
        <v>1270</v>
      </c>
      <c r="B1767" s="12" t="s">
        <v>497</v>
      </c>
    </row>
    <row r="1768" spans="1:2" x14ac:dyDescent="0.25">
      <c r="A1768" s="11">
        <v>1272</v>
      </c>
      <c r="B1768" s="12" t="s">
        <v>1685</v>
      </c>
    </row>
    <row r="1769" spans="1:2" x14ac:dyDescent="0.25">
      <c r="A1769" s="11">
        <v>1273</v>
      </c>
      <c r="B1769" s="12" t="s">
        <v>499</v>
      </c>
    </row>
    <row r="1770" spans="1:2" x14ac:dyDescent="0.25">
      <c r="A1770" s="11">
        <v>1274</v>
      </c>
      <c r="B1770" s="12" t="s">
        <v>501</v>
      </c>
    </row>
    <row r="1771" spans="1:2" x14ac:dyDescent="0.25">
      <c r="A1771" s="11">
        <v>1276</v>
      </c>
      <c r="B1771" s="12" t="s">
        <v>503</v>
      </c>
    </row>
    <row r="1772" spans="1:2" x14ac:dyDescent="0.25">
      <c r="A1772" s="11">
        <v>1277</v>
      </c>
      <c r="B1772" s="12" t="s">
        <v>505</v>
      </c>
    </row>
    <row r="1773" spans="1:2" x14ac:dyDescent="0.25">
      <c r="A1773" s="11">
        <v>1278</v>
      </c>
      <c r="B1773" s="12" t="s">
        <v>507</v>
      </c>
    </row>
    <row r="1774" spans="1:2" x14ac:dyDescent="0.25">
      <c r="A1774" s="11">
        <v>1282</v>
      </c>
      <c r="B1774" s="12" t="s">
        <v>509</v>
      </c>
    </row>
    <row r="1775" spans="1:2" x14ac:dyDescent="0.25">
      <c r="A1775" s="11">
        <v>1283</v>
      </c>
      <c r="B1775" s="12" t="s">
        <v>1686</v>
      </c>
    </row>
    <row r="1776" spans="1:2" x14ac:dyDescent="0.25">
      <c r="A1776" s="11">
        <v>1284</v>
      </c>
      <c r="B1776" s="12" t="s">
        <v>511</v>
      </c>
    </row>
    <row r="1777" spans="1:2" x14ac:dyDescent="0.25">
      <c r="A1777" s="11">
        <v>1285</v>
      </c>
      <c r="B1777" s="12" t="s">
        <v>513</v>
      </c>
    </row>
    <row r="1778" spans="1:2" x14ac:dyDescent="0.25">
      <c r="A1778" s="11">
        <v>2170</v>
      </c>
      <c r="B1778" s="12" t="s">
        <v>1687</v>
      </c>
    </row>
    <row r="1779" spans="1:2" x14ac:dyDescent="0.25">
      <c r="A1779" s="11">
        <v>2240</v>
      </c>
      <c r="B1779" s="12" t="s">
        <v>664</v>
      </c>
    </row>
    <row r="1780" spans="1:2" x14ac:dyDescent="0.25">
      <c r="A1780" s="11">
        <v>2241</v>
      </c>
      <c r="B1780" s="12" t="s">
        <v>1688</v>
      </c>
    </row>
    <row r="1781" spans="1:2" x14ac:dyDescent="0.25">
      <c r="A1781" s="11">
        <v>2242</v>
      </c>
      <c r="B1781" s="12" t="s">
        <v>666</v>
      </c>
    </row>
    <row r="1782" spans="1:2" x14ac:dyDescent="0.25">
      <c r="A1782" s="11">
        <v>2243</v>
      </c>
      <c r="B1782" s="12" t="s">
        <v>668</v>
      </c>
    </row>
    <row r="1783" spans="1:2" x14ac:dyDescent="0.25">
      <c r="A1783" s="11">
        <v>2256</v>
      </c>
      <c r="B1783" s="12" t="s">
        <v>670</v>
      </c>
    </row>
    <row r="1784" spans="1:2" x14ac:dyDescent="0.25">
      <c r="A1784" s="11">
        <v>2442</v>
      </c>
      <c r="B1784" s="12" t="s">
        <v>697</v>
      </c>
    </row>
    <row r="1785" spans="1:2" x14ac:dyDescent="0.25">
      <c r="A1785" s="11">
        <v>2461</v>
      </c>
      <c r="B1785" s="12" t="s">
        <v>701</v>
      </c>
    </row>
    <row r="1786" spans="1:2" x14ac:dyDescent="0.25">
      <c r="A1786" s="11">
        <v>2535</v>
      </c>
      <c r="B1786" s="12" t="s">
        <v>1689</v>
      </c>
    </row>
    <row r="1787" spans="1:2" x14ac:dyDescent="0.25">
      <c r="A1787" s="11">
        <v>2663</v>
      </c>
      <c r="B1787" s="12" t="s">
        <v>720</v>
      </c>
    </row>
    <row r="1788" spans="1:2" x14ac:dyDescent="0.25">
      <c r="A1788" s="11">
        <v>2664</v>
      </c>
      <c r="B1788" s="12" t="s">
        <v>1690</v>
      </c>
    </row>
    <row r="1789" spans="1:2" x14ac:dyDescent="0.25">
      <c r="A1789" s="11">
        <v>2665</v>
      </c>
      <c r="B1789" s="12" t="s">
        <v>1691</v>
      </c>
    </row>
    <row r="1790" spans="1:2" x14ac:dyDescent="0.25">
      <c r="A1790" s="11">
        <v>2666</v>
      </c>
      <c r="B1790" s="12" t="s">
        <v>1692</v>
      </c>
    </row>
    <row r="1791" spans="1:2" x14ac:dyDescent="0.25">
      <c r="A1791" s="11">
        <v>2667</v>
      </c>
      <c r="B1791" s="12" t="s">
        <v>1693</v>
      </c>
    </row>
    <row r="1792" spans="1:2" x14ac:dyDescent="0.25">
      <c r="A1792" s="11">
        <v>2668</v>
      </c>
      <c r="B1792" s="12" t="s">
        <v>1694</v>
      </c>
    </row>
    <row r="1793" spans="1:2" x14ac:dyDescent="0.25">
      <c r="A1793" s="11">
        <v>2669</v>
      </c>
      <c r="B1793" s="12" t="s">
        <v>1695</v>
      </c>
    </row>
    <row r="1794" spans="1:2" x14ac:dyDescent="0.25">
      <c r="A1794" s="11">
        <v>2670</v>
      </c>
      <c r="B1794" s="12" t="s">
        <v>1696</v>
      </c>
    </row>
    <row r="1795" spans="1:2" x14ac:dyDescent="0.25">
      <c r="A1795" s="11">
        <v>2671</v>
      </c>
      <c r="B1795" s="12" t="s">
        <v>1697</v>
      </c>
    </row>
    <row r="1796" spans="1:2" x14ac:dyDescent="0.25">
      <c r="A1796" s="11">
        <v>2672</v>
      </c>
      <c r="B1796" s="12" t="s">
        <v>1698</v>
      </c>
    </row>
    <row r="1797" spans="1:2" x14ac:dyDescent="0.25">
      <c r="A1797" s="11">
        <v>2724</v>
      </c>
      <c r="B1797" s="12" t="s">
        <v>1699</v>
      </c>
    </row>
    <row r="1798" spans="1:2" x14ac:dyDescent="0.25">
      <c r="A1798" s="11">
        <v>2797</v>
      </c>
      <c r="B1798" s="12" t="s">
        <v>753</v>
      </c>
    </row>
    <row r="1799" spans="1:2" x14ac:dyDescent="0.25">
      <c r="A1799" s="11">
        <v>2873</v>
      </c>
      <c r="B1799" s="12" t="s">
        <v>1700</v>
      </c>
    </row>
    <row r="1800" spans="1:2" x14ac:dyDescent="0.25">
      <c r="A1800" s="11">
        <v>2874</v>
      </c>
      <c r="B1800" s="12" t="s">
        <v>763</v>
      </c>
    </row>
    <row r="1801" spans="1:2" x14ac:dyDescent="0.25">
      <c r="A1801" s="11">
        <v>2881</v>
      </c>
      <c r="B1801" s="12" t="s">
        <v>1701</v>
      </c>
    </row>
    <row r="1802" spans="1:2" x14ac:dyDescent="0.25">
      <c r="A1802" s="11">
        <v>2936</v>
      </c>
      <c r="B1802" s="12" t="s">
        <v>782</v>
      </c>
    </row>
    <row r="1803" spans="1:2" x14ac:dyDescent="0.25">
      <c r="A1803" s="11">
        <v>2937</v>
      </c>
      <c r="B1803" s="12" t="s">
        <v>784</v>
      </c>
    </row>
    <row r="1804" spans="1:2" x14ac:dyDescent="0.25">
      <c r="A1804" s="11">
        <v>2938</v>
      </c>
      <c r="B1804" s="12" t="s">
        <v>786</v>
      </c>
    </row>
    <row r="1805" spans="1:2" x14ac:dyDescent="0.25">
      <c r="A1805" s="11">
        <v>2939</v>
      </c>
      <c r="B1805" s="12" t="s">
        <v>788</v>
      </c>
    </row>
    <row r="1806" spans="1:2" x14ac:dyDescent="0.25">
      <c r="A1806" s="11">
        <v>3000</v>
      </c>
      <c r="B1806" s="12" t="s">
        <v>1702</v>
      </c>
    </row>
    <row r="1807" spans="1:2" x14ac:dyDescent="0.25">
      <c r="A1807" s="11">
        <v>3001</v>
      </c>
      <c r="B1807" s="12" t="s">
        <v>1703</v>
      </c>
    </row>
    <row r="1808" spans="1:2" x14ac:dyDescent="0.25">
      <c r="A1808" s="11">
        <v>3086</v>
      </c>
      <c r="B1808" s="12" t="s">
        <v>816</v>
      </c>
    </row>
    <row r="1809" spans="1:2" x14ac:dyDescent="0.25">
      <c r="A1809" s="11">
        <v>3087</v>
      </c>
      <c r="B1809" s="12" t="s">
        <v>818</v>
      </c>
    </row>
    <row r="1810" spans="1:2" x14ac:dyDescent="0.25">
      <c r="A1810" s="11">
        <v>1305</v>
      </c>
      <c r="B1810" s="12" t="s">
        <v>1704</v>
      </c>
    </row>
    <row r="1811" spans="1:2" x14ac:dyDescent="0.25">
      <c r="A1811" s="11">
        <v>1311</v>
      </c>
      <c r="B1811" s="12" t="s">
        <v>1705</v>
      </c>
    </row>
    <row r="1812" spans="1:2" x14ac:dyDescent="0.25">
      <c r="A1812" s="11">
        <v>1313</v>
      </c>
      <c r="B1812" s="12" t="s">
        <v>514</v>
      </c>
    </row>
    <row r="1813" spans="1:2" x14ac:dyDescent="0.25">
      <c r="A1813" s="11">
        <v>1320</v>
      </c>
      <c r="B1813" s="12" t="s">
        <v>516</v>
      </c>
    </row>
    <row r="1814" spans="1:2" x14ac:dyDescent="0.25">
      <c r="A1814" s="11">
        <v>1325</v>
      </c>
      <c r="B1814" s="12" t="s">
        <v>518</v>
      </c>
    </row>
    <row r="1815" spans="1:2" x14ac:dyDescent="0.25">
      <c r="A1815" s="11">
        <v>1327</v>
      </c>
      <c r="B1815" s="12" t="s">
        <v>520</v>
      </c>
    </row>
    <row r="1816" spans="1:2" x14ac:dyDescent="0.25">
      <c r="A1816" s="11">
        <v>1337</v>
      </c>
      <c r="B1816" s="12" t="s">
        <v>1175</v>
      </c>
    </row>
    <row r="1817" spans="1:2" x14ac:dyDescent="0.25">
      <c r="A1817" s="11">
        <v>1346</v>
      </c>
      <c r="B1817" s="12" t="s">
        <v>521</v>
      </c>
    </row>
    <row r="1818" spans="1:2" x14ac:dyDescent="0.25">
      <c r="A1818" s="11">
        <v>2236</v>
      </c>
      <c r="B1818" s="12" t="s">
        <v>662</v>
      </c>
    </row>
    <row r="1819" spans="1:2" x14ac:dyDescent="0.25">
      <c r="A1819" s="11">
        <v>2307</v>
      </c>
      <c r="B1819" s="12" t="s">
        <v>675</v>
      </c>
    </row>
    <row r="1820" spans="1:2" x14ac:dyDescent="0.25">
      <c r="A1820" s="11">
        <v>2775</v>
      </c>
      <c r="B1820" s="12" t="s">
        <v>747</v>
      </c>
    </row>
    <row r="1821" spans="1:2" x14ac:dyDescent="0.25">
      <c r="A1821" s="11">
        <v>2792</v>
      </c>
      <c r="B1821" s="12" t="s">
        <v>1706</v>
      </c>
    </row>
    <row r="1822" spans="1:2" x14ac:dyDescent="0.25">
      <c r="A1822" s="11">
        <v>2827</v>
      </c>
      <c r="B1822" s="12" t="s">
        <v>757</v>
      </c>
    </row>
    <row r="1823" spans="1:2" x14ac:dyDescent="0.25">
      <c r="A1823" s="11">
        <v>2884</v>
      </c>
      <c r="B1823" s="12" t="s">
        <v>1176</v>
      </c>
    </row>
    <row r="1824" spans="1:2" x14ac:dyDescent="0.25">
      <c r="A1824" s="11">
        <v>2950</v>
      </c>
      <c r="B1824" s="12" t="s">
        <v>1707</v>
      </c>
    </row>
    <row r="1825" spans="1:2" x14ac:dyDescent="0.25">
      <c r="A1825" s="11">
        <v>2951</v>
      </c>
      <c r="B1825" s="12" t="s">
        <v>1708</v>
      </c>
    </row>
    <row r="1826" spans="1:2" x14ac:dyDescent="0.25">
      <c r="A1826" s="11">
        <v>2978</v>
      </c>
      <c r="B1826" s="12" t="s">
        <v>799</v>
      </c>
    </row>
    <row r="1827" spans="1:2" x14ac:dyDescent="0.25">
      <c r="A1827" s="11">
        <v>3047</v>
      </c>
      <c r="B1827" s="12" t="s">
        <v>1709</v>
      </c>
    </row>
    <row r="1828" spans="1:2" x14ac:dyDescent="0.25">
      <c r="A1828" s="11">
        <v>3066</v>
      </c>
      <c r="B1828" s="12" t="s">
        <v>1710</v>
      </c>
    </row>
    <row r="1829" spans="1:2" x14ac:dyDescent="0.25">
      <c r="A1829" s="11">
        <v>3070</v>
      </c>
      <c r="B1829" s="12" t="s">
        <v>1711</v>
      </c>
    </row>
    <row r="1830" spans="1:2" x14ac:dyDescent="0.25">
      <c r="A1830" s="11">
        <v>1503</v>
      </c>
      <c r="B1830" s="12" t="s">
        <v>1712</v>
      </c>
    </row>
    <row r="1831" spans="1:2" x14ac:dyDescent="0.25">
      <c r="A1831" s="11">
        <v>1504</v>
      </c>
      <c r="B1831" s="12" t="s">
        <v>523</v>
      </c>
    </row>
    <row r="1832" spans="1:2" x14ac:dyDescent="0.25">
      <c r="A1832" s="11">
        <v>1505</v>
      </c>
      <c r="B1832" s="12" t="s">
        <v>1713</v>
      </c>
    </row>
    <row r="1833" spans="1:2" x14ac:dyDescent="0.25">
      <c r="A1833" s="11">
        <v>1506</v>
      </c>
      <c r="B1833" s="12" t="s">
        <v>1714</v>
      </c>
    </row>
    <row r="1834" spans="1:2" x14ac:dyDescent="0.25">
      <c r="A1834" s="11">
        <v>1508</v>
      </c>
      <c r="B1834" s="12" t="s">
        <v>525</v>
      </c>
    </row>
    <row r="1835" spans="1:2" x14ac:dyDescent="0.25">
      <c r="A1835" s="11">
        <v>1512</v>
      </c>
      <c r="B1835" s="12" t="s">
        <v>1715</v>
      </c>
    </row>
    <row r="1836" spans="1:2" x14ac:dyDescent="0.25">
      <c r="A1836" s="11">
        <v>1515</v>
      </c>
      <c r="B1836" s="12" t="s">
        <v>1177</v>
      </c>
    </row>
    <row r="1837" spans="1:2" x14ac:dyDescent="0.25">
      <c r="A1837" s="11">
        <v>1516</v>
      </c>
      <c r="B1837" s="12" t="s">
        <v>1716</v>
      </c>
    </row>
    <row r="1838" spans="1:2" x14ac:dyDescent="0.25">
      <c r="A1838" s="11">
        <v>1517</v>
      </c>
      <c r="B1838" s="12" t="s">
        <v>527</v>
      </c>
    </row>
    <row r="1839" spans="1:2" x14ac:dyDescent="0.25">
      <c r="A1839" s="11">
        <v>1518</v>
      </c>
      <c r="B1839" s="12" t="s">
        <v>529</v>
      </c>
    </row>
    <row r="1840" spans="1:2" x14ac:dyDescent="0.25">
      <c r="A1840" s="11">
        <v>1519</v>
      </c>
      <c r="B1840" s="12" t="s">
        <v>1717</v>
      </c>
    </row>
    <row r="1841" spans="1:2" x14ac:dyDescent="0.25">
      <c r="A1841" s="11">
        <v>1521</v>
      </c>
      <c r="B1841" s="12" t="s">
        <v>530</v>
      </c>
    </row>
    <row r="1842" spans="1:2" x14ac:dyDescent="0.25">
      <c r="A1842" s="11">
        <v>1523</v>
      </c>
      <c r="B1842" s="12" t="s">
        <v>1718</v>
      </c>
    </row>
    <row r="1843" spans="1:2" x14ac:dyDescent="0.25">
      <c r="A1843" s="11">
        <v>1524</v>
      </c>
      <c r="B1843" s="12" t="s">
        <v>532</v>
      </c>
    </row>
    <row r="1844" spans="1:2" x14ac:dyDescent="0.25">
      <c r="A1844" s="11">
        <v>1525</v>
      </c>
      <c r="B1844" s="12" t="s">
        <v>1719</v>
      </c>
    </row>
    <row r="1845" spans="1:2" x14ac:dyDescent="0.25">
      <c r="A1845" s="11">
        <v>1526</v>
      </c>
      <c r="B1845" s="12" t="s">
        <v>534</v>
      </c>
    </row>
    <row r="1846" spans="1:2" x14ac:dyDescent="0.25">
      <c r="A1846" s="11">
        <v>1527</v>
      </c>
      <c r="B1846" s="12" t="s">
        <v>1720</v>
      </c>
    </row>
    <row r="1847" spans="1:2" x14ac:dyDescent="0.25">
      <c r="A1847" s="11">
        <v>1530</v>
      </c>
      <c r="B1847" s="12" t="s">
        <v>538</v>
      </c>
    </row>
    <row r="1848" spans="1:2" x14ac:dyDescent="0.25">
      <c r="A1848" s="11">
        <v>1532</v>
      </c>
      <c r="B1848" s="12" t="s">
        <v>1721</v>
      </c>
    </row>
    <row r="1849" spans="1:2" x14ac:dyDescent="0.25">
      <c r="A1849" s="11">
        <v>1533</v>
      </c>
      <c r="B1849" s="12" t="s">
        <v>540</v>
      </c>
    </row>
    <row r="1850" spans="1:2" x14ac:dyDescent="0.25">
      <c r="A1850" s="11">
        <v>1535</v>
      </c>
      <c r="B1850" s="12" t="s">
        <v>542</v>
      </c>
    </row>
    <row r="1851" spans="1:2" x14ac:dyDescent="0.25">
      <c r="A1851" s="11">
        <v>1536</v>
      </c>
      <c r="B1851" s="12" t="s">
        <v>543</v>
      </c>
    </row>
    <row r="1852" spans="1:2" x14ac:dyDescent="0.25">
      <c r="A1852" s="11">
        <v>1537</v>
      </c>
      <c r="B1852" s="12" t="s">
        <v>1722</v>
      </c>
    </row>
    <row r="1853" spans="1:2" x14ac:dyDescent="0.25">
      <c r="A1853" s="11">
        <v>1538</v>
      </c>
      <c r="B1853" s="12" t="s">
        <v>545</v>
      </c>
    </row>
    <row r="1854" spans="1:2" x14ac:dyDescent="0.25">
      <c r="A1854" s="11">
        <v>1541</v>
      </c>
      <c r="B1854" s="12" t="s">
        <v>1007</v>
      </c>
    </row>
    <row r="1855" spans="1:2" x14ac:dyDescent="0.25">
      <c r="A1855" s="11">
        <v>1542</v>
      </c>
      <c r="B1855" s="12" t="s">
        <v>546</v>
      </c>
    </row>
    <row r="1856" spans="1:2" x14ac:dyDescent="0.25">
      <c r="A1856" s="11">
        <v>1543</v>
      </c>
      <c r="B1856" s="12" t="s">
        <v>548</v>
      </c>
    </row>
    <row r="1857" spans="1:2" x14ac:dyDescent="0.25">
      <c r="A1857" s="11">
        <v>1544</v>
      </c>
      <c r="B1857" s="12" t="s">
        <v>550</v>
      </c>
    </row>
    <row r="1858" spans="1:2" x14ac:dyDescent="0.25">
      <c r="A1858" s="11">
        <v>1546</v>
      </c>
      <c r="B1858" s="12" t="s">
        <v>552</v>
      </c>
    </row>
    <row r="1859" spans="1:2" x14ac:dyDescent="0.25">
      <c r="A1859" s="11">
        <v>1548</v>
      </c>
      <c r="B1859" s="12" t="s">
        <v>1008</v>
      </c>
    </row>
    <row r="1860" spans="1:2" x14ac:dyDescent="0.25">
      <c r="A1860" s="11">
        <v>1550</v>
      </c>
      <c r="B1860" s="12" t="s">
        <v>1723</v>
      </c>
    </row>
    <row r="1861" spans="1:2" x14ac:dyDescent="0.25">
      <c r="A1861" s="11">
        <v>1551</v>
      </c>
      <c r="B1861" s="12" t="s">
        <v>554</v>
      </c>
    </row>
    <row r="1862" spans="1:2" x14ac:dyDescent="0.25">
      <c r="A1862" s="11">
        <v>1553</v>
      </c>
      <c r="B1862" s="12" t="s">
        <v>898</v>
      </c>
    </row>
    <row r="1863" spans="1:2" x14ac:dyDescent="0.25">
      <c r="A1863" s="11">
        <v>1554</v>
      </c>
      <c r="B1863" s="12" t="s">
        <v>555</v>
      </c>
    </row>
    <row r="1864" spans="1:2" x14ac:dyDescent="0.25">
      <c r="A1864" s="11">
        <v>1557</v>
      </c>
      <c r="B1864" s="12" t="s">
        <v>1724</v>
      </c>
    </row>
    <row r="1865" spans="1:2" x14ac:dyDescent="0.25">
      <c r="A1865" s="11">
        <v>1560</v>
      </c>
      <c r="B1865" s="12" t="s">
        <v>557</v>
      </c>
    </row>
    <row r="1866" spans="1:2" x14ac:dyDescent="0.25">
      <c r="A1866" s="11">
        <v>1561</v>
      </c>
      <c r="B1866" s="12" t="s">
        <v>1725</v>
      </c>
    </row>
    <row r="1867" spans="1:2" x14ac:dyDescent="0.25">
      <c r="A1867" s="11">
        <v>1562</v>
      </c>
      <c r="B1867" s="12" t="s">
        <v>559</v>
      </c>
    </row>
    <row r="1868" spans="1:2" x14ac:dyDescent="0.25">
      <c r="A1868" s="11">
        <v>1563</v>
      </c>
      <c r="B1868" s="12" t="s">
        <v>561</v>
      </c>
    </row>
    <row r="1869" spans="1:2" x14ac:dyDescent="0.25">
      <c r="A1869" s="11">
        <v>1567</v>
      </c>
      <c r="B1869" s="12" t="s">
        <v>563</v>
      </c>
    </row>
    <row r="1870" spans="1:2" x14ac:dyDescent="0.25">
      <c r="A1870" s="11">
        <v>1568</v>
      </c>
      <c r="B1870" s="12" t="s">
        <v>565</v>
      </c>
    </row>
    <row r="1871" spans="1:2" x14ac:dyDescent="0.25">
      <c r="A1871" s="11">
        <v>1569</v>
      </c>
      <c r="B1871" s="12" t="s">
        <v>567</v>
      </c>
    </row>
    <row r="1872" spans="1:2" x14ac:dyDescent="0.25">
      <c r="A1872" s="11">
        <v>1571</v>
      </c>
      <c r="B1872" s="12" t="s">
        <v>568</v>
      </c>
    </row>
    <row r="1873" spans="1:2" x14ac:dyDescent="0.25">
      <c r="A1873" s="11">
        <v>1574</v>
      </c>
      <c r="B1873" s="12" t="s">
        <v>1726</v>
      </c>
    </row>
    <row r="1874" spans="1:2" x14ac:dyDescent="0.25">
      <c r="A1874" s="11">
        <v>1576</v>
      </c>
      <c r="B1874" s="12" t="s">
        <v>899</v>
      </c>
    </row>
    <row r="1875" spans="1:2" x14ac:dyDescent="0.25">
      <c r="A1875" s="11">
        <v>1577</v>
      </c>
      <c r="B1875" s="12" t="s">
        <v>1727</v>
      </c>
    </row>
    <row r="1876" spans="1:2" x14ac:dyDescent="0.25">
      <c r="A1876" s="11">
        <v>1580</v>
      </c>
      <c r="B1876" s="12" t="s">
        <v>1728</v>
      </c>
    </row>
    <row r="1877" spans="1:2" x14ac:dyDescent="0.25">
      <c r="A1877" s="11">
        <v>1582</v>
      </c>
      <c r="B1877" s="12" t="s">
        <v>1729</v>
      </c>
    </row>
    <row r="1878" spans="1:2" x14ac:dyDescent="0.25">
      <c r="A1878" s="11">
        <v>1587</v>
      </c>
      <c r="B1878" s="12" t="s">
        <v>1730</v>
      </c>
    </row>
    <row r="1879" spans="1:2" x14ac:dyDescent="0.25">
      <c r="A1879" s="11">
        <v>2197</v>
      </c>
      <c r="B1879" s="12" t="s">
        <v>661</v>
      </c>
    </row>
    <row r="1880" spans="1:2" x14ac:dyDescent="0.25">
      <c r="A1880" s="11">
        <v>2244</v>
      </c>
      <c r="B1880" s="12" t="s">
        <v>1178</v>
      </c>
    </row>
    <row r="1881" spans="1:2" x14ac:dyDescent="0.25">
      <c r="A1881" s="11">
        <v>2308</v>
      </c>
      <c r="B1881" s="12" t="s">
        <v>677</v>
      </c>
    </row>
    <row r="1882" spans="1:2" x14ac:dyDescent="0.25">
      <c r="A1882" s="11">
        <v>2446</v>
      </c>
      <c r="B1882" s="12" t="s">
        <v>699</v>
      </c>
    </row>
    <row r="1883" spans="1:2" x14ac:dyDescent="0.25">
      <c r="A1883" s="11">
        <v>2457</v>
      </c>
      <c r="B1883" s="12" t="s">
        <v>1731</v>
      </c>
    </row>
    <row r="1884" spans="1:2" x14ac:dyDescent="0.25">
      <c r="A1884" s="11">
        <v>2474</v>
      </c>
      <c r="B1884" s="12" t="s">
        <v>1732</v>
      </c>
    </row>
    <row r="1885" spans="1:2" x14ac:dyDescent="0.25">
      <c r="A1885" s="11">
        <v>2484</v>
      </c>
      <c r="B1885" s="12" t="s">
        <v>1733</v>
      </c>
    </row>
    <row r="1886" spans="1:2" x14ac:dyDescent="0.25">
      <c r="A1886" s="11">
        <v>2547</v>
      </c>
      <c r="B1886" s="12" t="s">
        <v>1734</v>
      </c>
    </row>
    <row r="1887" spans="1:2" x14ac:dyDescent="0.25">
      <c r="A1887" s="11">
        <v>2548</v>
      </c>
      <c r="B1887" s="12" t="s">
        <v>1179</v>
      </c>
    </row>
    <row r="1888" spans="1:2" x14ac:dyDescent="0.25">
      <c r="A1888" s="11">
        <v>2549</v>
      </c>
      <c r="B1888" s="12" t="s">
        <v>1180</v>
      </c>
    </row>
    <row r="1889" spans="1:2" x14ac:dyDescent="0.25">
      <c r="A1889" s="11">
        <v>2553</v>
      </c>
      <c r="B1889" s="12" t="s">
        <v>1735</v>
      </c>
    </row>
    <row r="1890" spans="1:2" x14ac:dyDescent="0.25">
      <c r="A1890" s="11">
        <v>2555</v>
      </c>
      <c r="B1890" s="12" t="s">
        <v>1181</v>
      </c>
    </row>
    <row r="1891" spans="1:2" x14ac:dyDescent="0.25">
      <c r="A1891" s="11">
        <v>2556</v>
      </c>
      <c r="B1891" s="12" t="s">
        <v>1182</v>
      </c>
    </row>
    <row r="1892" spans="1:2" x14ac:dyDescent="0.25">
      <c r="A1892" s="11">
        <v>2588</v>
      </c>
      <c r="B1892" s="12" t="s">
        <v>1183</v>
      </c>
    </row>
    <row r="1893" spans="1:2" x14ac:dyDescent="0.25">
      <c r="A1893" s="11">
        <v>2683</v>
      </c>
      <c r="B1893" s="12" t="s">
        <v>726</v>
      </c>
    </row>
    <row r="1894" spans="1:2" x14ac:dyDescent="0.25">
      <c r="A1894" s="11">
        <v>2695</v>
      </c>
      <c r="B1894" s="12" t="s">
        <v>1736</v>
      </c>
    </row>
    <row r="1895" spans="1:2" x14ac:dyDescent="0.25">
      <c r="A1895" s="11">
        <v>2728</v>
      </c>
      <c r="B1895" s="12" t="s">
        <v>1737</v>
      </c>
    </row>
    <row r="1896" spans="1:2" x14ac:dyDescent="0.25">
      <c r="A1896" s="11">
        <v>2738</v>
      </c>
      <c r="B1896" s="12" t="s">
        <v>736</v>
      </c>
    </row>
    <row r="1897" spans="1:2" x14ac:dyDescent="0.25">
      <c r="A1897" s="11">
        <v>2739</v>
      </c>
      <c r="B1897" s="12" t="s">
        <v>1738</v>
      </c>
    </row>
    <row r="1898" spans="1:2" x14ac:dyDescent="0.25">
      <c r="A1898" s="11">
        <v>2740</v>
      </c>
      <c r="B1898" s="12" t="s">
        <v>1739</v>
      </c>
    </row>
    <row r="1899" spans="1:2" x14ac:dyDescent="0.25">
      <c r="A1899" s="11">
        <v>2741</v>
      </c>
      <c r="B1899" s="12" t="s">
        <v>1740</v>
      </c>
    </row>
    <row r="1900" spans="1:2" x14ac:dyDescent="0.25">
      <c r="A1900" s="11">
        <v>2785</v>
      </c>
      <c r="B1900" s="12" t="s">
        <v>1741</v>
      </c>
    </row>
    <row r="1901" spans="1:2" x14ac:dyDescent="0.25">
      <c r="A1901" s="11">
        <v>2791</v>
      </c>
      <c r="B1901" s="12" t="s">
        <v>1742</v>
      </c>
    </row>
    <row r="1902" spans="1:2" x14ac:dyDescent="0.25">
      <c r="A1902" s="11">
        <v>2793</v>
      </c>
      <c r="B1902" s="12" t="s">
        <v>1743</v>
      </c>
    </row>
    <row r="1903" spans="1:2" x14ac:dyDescent="0.25">
      <c r="A1903" s="11">
        <v>2794</v>
      </c>
      <c r="B1903" s="12" t="s">
        <v>1744</v>
      </c>
    </row>
    <row r="1904" spans="1:2" x14ac:dyDescent="0.25">
      <c r="A1904" s="11">
        <v>2795</v>
      </c>
      <c r="B1904" s="12" t="s">
        <v>1745</v>
      </c>
    </row>
    <row r="1905" spans="1:2" x14ac:dyDescent="0.25">
      <c r="A1905" s="11">
        <v>2796</v>
      </c>
      <c r="B1905" s="12" t="s">
        <v>1746</v>
      </c>
    </row>
    <row r="1906" spans="1:2" x14ac:dyDescent="0.25">
      <c r="A1906" s="11">
        <v>2803</v>
      </c>
      <c r="B1906" s="12" t="s">
        <v>1747</v>
      </c>
    </row>
    <row r="1907" spans="1:2" x14ac:dyDescent="0.25">
      <c r="A1907" s="11">
        <v>2804</v>
      </c>
      <c r="B1907" s="12" t="s">
        <v>1748</v>
      </c>
    </row>
    <row r="1908" spans="1:2" x14ac:dyDescent="0.25">
      <c r="A1908" s="11">
        <v>2805</v>
      </c>
      <c r="B1908" s="12" t="s">
        <v>1749</v>
      </c>
    </row>
    <row r="1909" spans="1:2" x14ac:dyDescent="0.25">
      <c r="A1909" s="11">
        <v>2806</v>
      </c>
      <c r="B1909" s="12" t="s">
        <v>1750</v>
      </c>
    </row>
    <row r="1910" spans="1:2" x14ac:dyDescent="0.25">
      <c r="A1910" s="11">
        <v>2888</v>
      </c>
      <c r="B1910" s="12" t="s">
        <v>769</v>
      </c>
    </row>
    <row r="1911" spans="1:2" x14ac:dyDescent="0.25">
      <c r="A1911" s="11">
        <v>2944</v>
      </c>
      <c r="B1911" s="12" t="s">
        <v>790</v>
      </c>
    </row>
    <row r="1912" spans="1:2" x14ac:dyDescent="0.25">
      <c r="A1912" s="11">
        <v>2945</v>
      </c>
      <c r="B1912" s="12" t="s">
        <v>1751</v>
      </c>
    </row>
    <row r="1913" spans="1:2" x14ac:dyDescent="0.25">
      <c r="A1913" s="11">
        <v>2948</v>
      </c>
      <c r="B1913" s="12" t="s">
        <v>792</v>
      </c>
    </row>
    <row r="1914" spans="1:2" x14ac:dyDescent="0.25">
      <c r="A1914" s="11">
        <v>2949</v>
      </c>
      <c r="B1914" s="12" t="s">
        <v>794</v>
      </c>
    </row>
    <row r="1915" spans="1:2" x14ac:dyDescent="0.25">
      <c r="A1915" s="11">
        <v>2956</v>
      </c>
      <c r="B1915" s="12" t="s">
        <v>1184</v>
      </c>
    </row>
    <row r="1916" spans="1:2" x14ac:dyDescent="0.25">
      <c r="A1916" s="11">
        <v>2957</v>
      </c>
      <c r="B1916" s="12" t="s">
        <v>1752</v>
      </c>
    </row>
    <row r="1917" spans="1:2" x14ac:dyDescent="0.25">
      <c r="A1917" s="11">
        <v>2958</v>
      </c>
      <c r="B1917" s="12" t="s">
        <v>1753</v>
      </c>
    </row>
    <row r="1918" spans="1:2" x14ac:dyDescent="0.25">
      <c r="A1918" s="11">
        <v>2962</v>
      </c>
      <c r="B1918" s="12" t="s">
        <v>1754</v>
      </c>
    </row>
    <row r="1919" spans="1:2" x14ac:dyDescent="0.25">
      <c r="A1919" s="11">
        <v>2963</v>
      </c>
      <c r="B1919" s="12" t="s">
        <v>1755</v>
      </c>
    </row>
    <row r="1920" spans="1:2" x14ac:dyDescent="0.25">
      <c r="A1920" s="11">
        <v>2996</v>
      </c>
      <c r="B1920" s="12" t="s">
        <v>1020</v>
      </c>
    </row>
    <row r="1921" spans="1:2" x14ac:dyDescent="0.25">
      <c r="A1921" s="11">
        <v>3037</v>
      </c>
      <c r="B1921" s="12" t="s">
        <v>1756</v>
      </c>
    </row>
    <row r="1922" spans="1:2" x14ac:dyDescent="0.25">
      <c r="A1922" s="11">
        <v>3051</v>
      </c>
      <c r="B1922" s="12" t="s">
        <v>1757</v>
      </c>
    </row>
    <row r="1923" spans="1:2" x14ac:dyDescent="0.25">
      <c r="A1923" s="11">
        <v>3052</v>
      </c>
      <c r="B1923" s="12" t="s">
        <v>1758</v>
      </c>
    </row>
    <row r="1924" spans="1:2" x14ac:dyDescent="0.25">
      <c r="A1924" s="11">
        <v>3082</v>
      </c>
      <c r="B1924" s="12" t="s">
        <v>814</v>
      </c>
    </row>
    <row r="1925" spans="1:2" x14ac:dyDescent="0.25">
      <c r="A1925" s="11">
        <v>3084</v>
      </c>
      <c r="B1925" s="12" t="s">
        <v>1759</v>
      </c>
    </row>
    <row r="1926" spans="1:2" x14ac:dyDescent="0.25">
      <c r="A1926" s="11">
        <v>3085</v>
      </c>
      <c r="B1926" s="12" t="s">
        <v>1760</v>
      </c>
    </row>
    <row r="1927" spans="1:2" x14ac:dyDescent="0.25">
      <c r="A1927" s="11">
        <v>1600</v>
      </c>
      <c r="B1927" s="12" t="s">
        <v>570</v>
      </c>
    </row>
    <row r="1928" spans="1:2" x14ac:dyDescent="0.25">
      <c r="A1928" s="11">
        <v>1601</v>
      </c>
      <c r="B1928" s="12" t="s">
        <v>572</v>
      </c>
    </row>
    <row r="1929" spans="1:2" x14ac:dyDescent="0.25">
      <c r="A1929" s="11">
        <v>1602</v>
      </c>
      <c r="B1929" s="12" t="s">
        <v>900</v>
      </c>
    </row>
    <row r="1930" spans="1:2" x14ac:dyDescent="0.25">
      <c r="A1930" s="11">
        <v>1603</v>
      </c>
      <c r="B1930" s="12" t="s">
        <v>901</v>
      </c>
    </row>
    <row r="1931" spans="1:2" x14ac:dyDescent="0.25">
      <c r="A1931" s="11">
        <v>1604</v>
      </c>
      <c r="B1931" s="12" t="s">
        <v>574</v>
      </c>
    </row>
    <row r="1932" spans="1:2" x14ac:dyDescent="0.25">
      <c r="A1932" s="11">
        <v>1607</v>
      </c>
      <c r="B1932" s="12" t="s">
        <v>1761</v>
      </c>
    </row>
    <row r="1933" spans="1:2" x14ac:dyDescent="0.25">
      <c r="A1933" s="11">
        <v>1608</v>
      </c>
      <c r="B1933" s="12" t="s">
        <v>576</v>
      </c>
    </row>
    <row r="1934" spans="1:2" x14ac:dyDescent="0.25">
      <c r="A1934" s="11">
        <v>1609</v>
      </c>
      <c r="B1934" s="12" t="s">
        <v>1762</v>
      </c>
    </row>
    <row r="1935" spans="1:2" x14ac:dyDescent="0.25">
      <c r="A1935" s="11">
        <v>1610</v>
      </c>
      <c r="B1935" s="12" t="s">
        <v>578</v>
      </c>
    </row>
    <row r="1936" spans="1:2" x14ac:dyDescent="0.25">
      <c r="A1936" s="11">
        <v>1611</v>
      </c>
      <c r="B1936" s="12" t="s">
        <v>1763</v>
      </c>
    </row>
    <row r="1937" spans="1:2" x14ac:dyDescent="0.25">
      <c r="A1937" s="11">
        <v>1613</v>
      </c>
      <c r="B1937" s="12" t="s">
        <v>1764</v>
      </c>
    </row>
    <row r="1938" spans="1:2" x14ac:dyDescent="0.25">
      <c r="A1938" s="11">
        <v>1614</v>
      </c>
      <c r="B1938" s="12" t="s">
        <v>1765</v>
      </c>
    </row>
    <row r="1939" spans="1:2" x14ac:dyDescent="0.25">
      <c r="A1939" s="11">
        <v>1615</v>
      </c>
      <c r="B1939" s="12" t="s">
        <v>580</v>
      </c>
    </row>
    <row r="1940" spans="1:2" x14ac:dyDescent="0.25">
      <c r="A1940" s="11">
        <v>1625</v>
      </c>
      <c r="B1940" s="12" t="s">
        <v>1766</v>
      </c>
    </row>
    <row r="1941" spans="1:2" x14ac:dyDescent="0.25">
      <c r="A1941" s="11">
        <v>1632</v>
      </c>
      <c r="B1941" s="12" t="s">
        <v>582</v>
      </c>
    </row>
    <row r="1942" spans="1:2" x14ac:dyDescent="0.25">
      <c r="A1942" s="11">
        <v>1640</v>
      </c>
      <c r="B1942" s="12" t="s">
        <v>1185</v>
      </c>
    </row>
    <row r="1943" spans="1:2" x14ac:dyDescent="0.25">
      <c r="A1943" s="11">
        <v>1641</v>
      </c>
      <c r="B1943" s="12" t="s">
        <v>1767</v>
      </c>
    </row>
    <row r="1944" spans="1:2" x14ac:dyDescent="0.25">
      <c r="A1944" s="11">
        <v>1644</v>
      </c>
      <c r="B1944" s="12" t="s">
        <v>1768</v>
      </c>
    </row>
    <row r="1945" spans="1:2" x14ac:dyDescent="0.25">
      <c r="A1945" s="11">
        <v>1647</v>
      </c>
      <c r="B1945" s="12" t="s">
        <v>1769</v>
      </c>
    </row>
    <row r="1946" spans="1:2" x14ac:dyDescent="0.25">
      <c r="A1946" s="11">
        <v>1648</v>
      </c>
      <c r="B1946" s="12" t="s">
        <v>1770</v>
      </c>
    </row>
    <row r="1947" spans="1:2" x14ac:dyDescent="0.25">
      <c r="A1947" s="11">
        <v>1649</v>
      </c>
      <c r="B1947" s="12" t="s">
        <v>1186</v>
      </c>
    </row>
    <row r="1948" spans="1:2" x14ac:dyDescent="0.25">
      <c r="A1948" s="11">
        <v>1651</v>
      </c>
      <c r="B1948" s="12" t="s">
        <v>1771</v>
      </c>
    </row>
    <row r="1949" spans="1:2" x14ac:dyDescent="0.25">
      <c r="A1949" s="11">
        <v>1656</v>
      </c>
      <c r="B1949" s="12" t="s">
        <v>1772</v>
      </c>
    </row>
    <row r="1950" spans="1:2" x14ac:dyDescent="0.25">
      <c r="A1950" s="11">
        <v>1665</v>
      </c>
      <c r="B1950" s="12" t="s">
        <v>1773</v>
      </c>
    </row>
    <row r="1951" spans="1:2" x14ac:dyDescent="0.25">
      <c r="A1951" s="11">
        <v>1666</v>
      </c>
      <c r="B1951" s="12" t="s">
        <v>1774</v>
      </c>
    </row>
    <row r="1952" spans="1:2" x14ac:dyDescent="0.25">
      <c r="A1952" s="11">
        <v>1674</v>
      </c>
      <c r="B1952" s="12" t="s">
        <v>1187</v>
      </c>
    </row>
    <row r="1953" spans="1:2" x14ac:dyDescent="0.25">
      <c r="A1953" s="11">
        <v>1683</v>
      </c>
      <c r="B1953" s="12" t="s">
        <v>1188</v>
      </c>
    </row>
    <row r="1954" spans="1:2" x14ac:dyDescent="0.25">
      <c r="A1954" s="11">
        <v>1685</v>
      </c>
      <c r="B1954" s="12" t="s">
        <v>1189</v>
      </c>
    </row>
    <row r="1955" spans="1:2" x14ac:dyDescent="0.25">
      <c r="A1955" s="11">
        <v>1686</v>
      </c>
      <c r="B1955" s="12" t="s">
        <v>583</v>
      </c>
    </row>
    <row r="1956" spans="1:2" x14ac:dyDescent="0.25">
      <c r="A1956" s="11">
        <v>1687</v>
      </c>
      <c r="B1956" s="12" t="s">
        <v>1775</v>
      </c>
    </row>
    <row r="1957" spans="1:2" x14ac:dyDescent="0.25">
      <c r="A1957" s="11">
        <v>1688</v>
      </c>
      <c r="B1957" s="12" t="s">
        <v>1190</v>
      </c>
    </row>
    <row r="1958" spans="1:2" x14ac:dyDescent="0.25">
      <c r="A1958" s="11">
        <v>1689</v>
      </c>
      <c r="B1958" s="12" t="s">
        <v>1191</v>
      </c>
    </row>
    <row r="1959" spans="1:2" x14ac:dyDescent="0.25">
      <c r="A1959" s="11">
        <v>1690</v>
      </c>
      <c r="B1959" s="12" t="s">
        <v>1776</v>
      </c>
    </row>
    <row r="1960" spans="1:2" x14ac:dyDescent="0.25">
      <c r="A1960" s="11">
        <v>1697</v>
      </c>
      <c r="B1960" s="12" t="s">
        <v>1777</v>
      </c>
    </row>
    <row r="1961" spans="1:2" x14ac:dyDescent="0.25">
      <c r="A1961" s="11">
        <v>2271</v>
      </c>
      <c r="B1961" s="12" t="s">
        <v>1778</v>
      </c>
    </row>
    <row r="1962" spans="1:2" x14ac:dyDescent="0.25">
      <c r="A1962" s="11">
        <v>2272</v>
      </c>
      <c r="B1962" s="12" t="s">
        <v>1192</v>
      </c>
    </row>
    <row r="1963" spans="1:2" x14ac:dyDescent="0.25">
      <c r="A1963" s="11">
        <v>2638</v>
      </c>
      <c r="B1963" s="12" t="s">
        <v>1779</v>
      </c>
    </row>
    <row r="1964" spans="1:2" x14ac:dyDescent="0.25">
      <c r="A1964" s="11">
        <v>2854</v>
      </c>
      <c r="B1964" s="12" t="s">
        <v>761</v>
      </c>
    </row>
    <row r="1965" spans="1:2" x14ac:dyDescent="0.25">
      <c r="A1965" s="11">
        <v>2859</v>
      </c>
      <c r="B1965" s="12" t="s">
        <v>1780</v>
      </c>
    </row>
    <row r="1966" spans="1:2" x14ac:dyDescent="0.25">
      <c r="A1966" s="11">
        <v>2860</v>
      </c>
      <c r="B1966" s="12" t="s">
        <v>1781</v>
      </c>
    </row>
    <row r="1967" spans="1:2" x14ac:dyDescent="0.25">
      <c r="A1967" s="11">
        <v>2861</v>
      </c>
      <c r="B1967" s="12" t="s">
        <v>1018</v>
      </c>
    </row>
    <row r="1968" spans="1:2" x14ac:dyDescent="0.25">
      <c r="A1968" s="11">
        <v>2914</v>
      </c>
      <c r="B1968" s="12" t="s">
        <v>1193</v>
      </c>
    </row>
    <row r="1969" spans="1:2" x14ac:dyDescent="0.25">
      <c r="A1969" s="11">
        <v>2915</v>
      </c>
      <c r="B1969" s="12" t="s">
        <v>1194</v>
      </c>
    </row>
    <row r="1970" spans="1:2" x14ac:dyDescent="0.25">
      <c r="A1970" s="11">
        <v>2916</v>
      </c>
      <c r="B1970" s="12" t="s">
        <v>776</v>
      </c>
    </row>
    <row r="1971" spans="1:2" x14ac:dyDescent="0.25">
      <c r="A1971" s="11">
        <v>2917</v>
      </c>
      <c r="B1971" s="12" t="s">
        <v>1782</v>
      </c>
    </row>
    <row r="1972" spans="1:2" x14ac:dyDescent="0.25">
      <c r="A1972" s="11">
        <v>2918</v>
      </c>
      <c r="B1972" s="12" t="s">
        <v>1783</v>
      </c>
    </row>
    <row r="1973" spans="1:2" x14ac:dyDescent="0.25">
      <c r="A1973" s="11">
        <v>2919</v>
      </c>
      <c r="B1973" s="12" t="s">
        <v>778</v>
      </c>
    </row>
    <row r="1974" spans="1:2" x14ac:dyDescent="0.25">
      <c r="A1974" s="11">
        <v>2920</v>
      </c>
      <c r="B1974" s="12" t="s">
        <v>1784</v>
      </c>
    </row>
    <row r="1975" spans="1:2" x14ac:dyDescent="0.25">
      <c r="A1975" s="11">
        <v>2921</v>
      </c>
      <c r="B1975" s="12" t="s">
        <v>1785</v>
      </c>
    </row>
    <row r="1976" spans="1:2" x14ac:dyDescent="0.25">
      <c r="A1976" s="11">
        <v>2922</v>
      </c>
      <c r="B1976" s="12" t="s">
        <v>1786</v>
      </c>
    </row>
    <row r="1977" spans="1:2" x14ac:dyDescent="0.25">
      <c r="A1977" s="11">
        <v>2979</v>
      </c>
      <c r="B1977" s="12" t="s">
        <v>1787</v>
      </c>
    </row>
    <row r="1978" spans="1:2" x14ac:dyDescent="0.25">
      <c r="A1978" s="11">
        <v>2980</v>
      </c>
      <c r="B1978" s="12" t="s">
        <v>1788</v>
      </c>
    </row>
    <row r="1979" spans="1:2" x14ac:dyDescent="0.25">
      <c r="A1979" s="11">
        <v>2990</v>
      </c>
      <c r="B1979" s="12" t="s">
        <v>1789</v>
      </c>
    </row>
    <row r="1980" spans="1:2" x14ac:dyDescent="0.25">
      <c r="A1980" s="11">
        <v>2991</v>
      </c>
      <c r="B1980" s="12" t="s">
        <v>1790</v>
      </c>
    </row>
    <row r="1981" spans="1:2" x14ac:dyDescent="0.25">
      <c r="A1981" s="11">
        <v>2992</v>
      </c>
      <c r="B1981" s="12" t="s">
        <v>805</v>
      </c>
    </row>
    <row r="1982" spans="1:2" x14ac:dyDescent="0.25">
      <c r="A1982" s="11">
        <v>2993</v>
      </c>
      <c r="B1982" s="12" t="s">
        <v>1791</v>
      </c>
    </row>
    <row r="1983" spans="1:2" x14ac:dyDescent="0.25">
      <c r="A1983" s="11">
        <v>3064</v>
      </c>
      <c r="B1983" s="12" t="s">
        <v>1792</v>
      </c>
    </row>
    <row r="1984" spans="1:2" x14ac:dyDescent="0.25">
      <c r="A1984" s="11">
        <v>3080</v>
      </c>
      <c r="B1984" s="12" t="s">
        <v>1793</v>
      </c>
    </row>
    <row r="1985" spans="1:2" x14ac:dyDescent="0.25">
      <c r="A1985" s="11">
        <v>1700</v>
      </c>
      <c r="B1985" s="12" t="s">
        <v>585</v>
      </c>
    </row>
    <row r="1986" spans="1:2" x14ac:dyDescent="0.25">
      <c r="A1986" s="11">
        <v>1701</v>
      </c>
      <c r="B1986" s="12" t="s">
        <v>586</v>
      </c>
    </row>
    <row r="1987" spans="1:2" x14ac:dyDescent="0.25">
      <c r="A1987" s="11">
        <v>1702</v>
      </c>
      <c r="B1987" s="12" t="s">
        <v>587</v>
      </c>
    </row>
    <row r="1988" spans="1:2" x14ac:dyDescent="0.25">
      <c r="A1988" s="11">
        <v>1703</v>
      </c>
      <c r="B1988" s="12" t="s">
        <v>1794</v>
      </c>
    </row>
    <row r="1989" spans="1:2" x14ac:dyDescent="0.25">
      <c r="A1989" s="11">
        <v>1704</v>
      </c>
      <c r="B1989" s="12" t="s">
        <v>589</v>
      </c>
    </row>
    <row r="1990" spans="1:2" x14ac:dyDescent="0.25">
      <c r="A1990" s="11">
        <v>1705</v>
      </c>
      <c r="B1990" s="12" t="s">
        <v>1795</v>
      </c>
    </row>
    <row r="1991" spans="1:2" x14ac:dyDescent="0.25">
      <c r="A1991" s="11">
        <v>1706</v>
      </c>
      <c r="B1991" s="12" t="s">
        <v>591</v>
      </c>
    </row>
    <row r="1992" spans="1:2" x14ac:dyDescent="0.25">
      <c r="A1992" s="11">
        <v>1709</v>
      </c>
      <c r="B1992" s="12" t="s">
        <v>1796</v>
      </c>
    </row>
    <row r="1993" spans="1:2" x14ac:dyDescent="0.25">
      <c r="A1993" s="11">
        <v>1711</v>
      </c>
      <c r="B1993" s="12" t="s">
        <v>592</v>
      </c>
    </row>
    <row r="1994" spans="1:2" x14ac:dyDescent="0.25">
      <c r="A1994" s="11">
        <v>1712</v>
      </c>
      <c r="B1994" s="12" t="s">
        <v>1797</v>
      </c>
    </row>
    <row r="1995" spans="1:2" x14ac:dyDescent="0.25">
      <c r="A1995" s="11">
        <v>1713</v>
      </c>
      <c r="B1995" s="12" t="s">
        <v>1009</v>
      </c>
    </row>
    <row r="1996" spans="1:2" x14ac:dyDescent="0.25">
      <c r="A1996" s="11">
        <v>1714</v>
      </c>
      <c r="B1996" s="12" t="s">
        <v>1798</v>
      </c>
    </row>
    <row r="1997" spans="1:2" x14ac:dyDescent="0.25">
      <c r="A1997" s="11">
        <v>1715</v>
      </c>
      <c r="B1997" s="12" t="s">
        <v>1799</v>
      </c>
    </row>
    <row r="1998" spans="1:2" x14ac:dyDescent="0.25">
      <c r="A1998" s="11">
        <v>1717</v>
      </c>
      <c r="B1998" s="12" t="s">
        <v>902</v>
      </c>
    </row>
    <row r="1999" spans="1:2" x14ac:dyDescent="0.25">
      <c r="A1999" s="11">
        <v>1718</v>
      </c>
      <c r="B1999" s="12" t="s">
        <v>1800</v>
      </c>
    </row>
    <row r="2000" spans="1:2" x14ac:dyDescent="0.25">
      <c r="A2000" s="11">
        <v>1719</v>
      </c>
      <c r="B2000" s="12" t="s">
        <v>1801</v>
      </c>
    </row>
    <row r="2001" spans="1:2" x14ac:dyDescent="0.25">
      <c r="A2001" s="11">
        <v>1720</v>
      </c>
      <c r="B2001" s="12" t="s">
        <v>594</v>
      </c>
    </row>
    <row r="2002" spans="1:2" x14ac:dyDescent="0.25">
      <c r="A2002" s="11">
        <v>1722</v>
      </c>
      <c r="B2002" s="12" t="s">
        <v>1802</v>
      </c>
    </row>
    <row r="2003" spans="1:2" x14ac:dyDescent="0.25">
      <c r="A2003" s="11">
        <v>1723</v>
      </c>
      <c r="B2003" s="12" t="s">
        <v>1803</v>
      </c>
    </row>
    <row r="2004" spans="1:2" x14ac:dyDescent="0.25">
      <c r="A2004" s="11">
        <v>1724</v>
      </c>
      <c r="B2004" s="12" t="s">
        <v>596</v>
      </c>
    </row>
    <row r="2005" spans="1:2" x14ac:dyDescent="0.25">
      <c r="A2005" s="11">
        <v>1727</v>
      </c>
      <c r="B2005" s="12" t="s">
        <v>598</v>
      </c>
    </row>
    <row r="2006" spans="1:2" x14ac:dyDescent="0.25">
      <c r="A2006" s="11">
        <v>1728</v>
      </c>
      <c r="B2006" s="12" t="s">
        <v>1804</v>
      </c>
    </row>
    <row r="2007" spans="1:2" x14ac:dyDescent="0.25">
      <c r="A2007" s="11">
        <v>1729</v>
      </c>
      <c r="B2007" s="12" t="s">
        <v>600</v>
      </c>
    </row>
    <row r="2008" spans="1:2" x14ac:dyDescent="0.25">
      <c r="A2008" s="11">
        <v>1730</v>
      </c>
      <c r="B2008" s="12" t="s">
        <v>1805</v>
      </c>
    </row>
    <row r="2009" spans="1:2" x14ac:dyDescent="0.25">
      <c r="A2009" s="11">
        <v>1731</v>
      </c>
      <c r="B2009" s="12" t="s">
        <v>1806</v>
      </c>
    </row>
    <row r="2010" spans="1:2" x14ac:dyDescent="0.25">
      <c r="A2010" s="11">
        <v>1732</v>
      </c>
      <c r="B2010" s="12" t="s">
        <v>1807</v>
      </c>
    </row>
    <row r="2011" spans="1:2" x14ac:dyDescent="0.25">
      <c r="A2011" s="11">
        <v>1733</v>
      </c>
      <c r="B2011" s="12" t="s">
        <v>602</v>
      </c>
    </row>
    <row r="2012" spans="1:2" x14ac:dyDescent="0.25">
      <c r="A2012" s="11">
        <v>1734</v>
      </c>
      <c r="B2012" s="12" t="s">
        <v>1808</v>
      </c>
    </row>
    <row r="2013" spans="1:2" x14ac:dyDescent="0.25">
      <c r="A2013" s="11">
        <v>1735</v>
      </c>
      <c r="B2013" s="12" t="s">
        <v>1809</v>
      </c>
    </row>
    <row r="2014" spans="1:2" x14ac:dyDescent="0.25">
      <c r="A2014" s="11">
        <v>1736</v>
      </c>
      <c r="B2014" s="12" t="s">
        <v>1810</v>
      </c>
    </row>
    <row r="2015" spans="1:2" x14ac:dyDescent="0.25">
      <c r="A2015" s="11">
        <v>1737</v>
      </c>
      <c r="B2015" s="12" t="s">
        <v>604</v>
      </c>
    </row>
    <row r="2016" spans="1:2" x14ac:dyDescent="0.25">
      <c r="A2016" s="11">
        <v>1738</v>
      </c>
      <c r="B2016" s="12" t="s">
        <v>1811</v>
      </c>
    </row>
    <row r="2017" spans="1:2" x14ac:dyDescent="0.25">
      <c r="A2017" s="11">
        <v>1739</v>
      </c>
      <c r="B2017" s="12" t="s">
        <v>1812</v>
      </c>
    </row>
    <row r="2018" spans="1:2" x14ac:dyDescent="0.25">
      <c r="A2018" s="11">
        <v>1740</v>
      </c>
      <c r="B2018" s="12" t="s">
        <v>606</v>
      </c>
    </row>
    <row r="2019" spans="1:2" x14ac:dyDescent="0.25">
      <c r="A2019" s="11">
        <v>1744</v>
      </c>
      <c r="B2019" s="12" t="s">
        <v>1813</v>
      </c>
    </row>
    <row r="2020" spans="1:2" x14ac:dyDescent="0.25">
      <c r="A2020" s="11">
        <v>1746</v>
      </c>
      <c r="B2020" s="12" t="s">
        <v>1814</v>
      </c>
    </row>
    <row r="2021" spans="1:2" x14ac:dyDescent="0.25">
      <c r="A2021" s="11">
        <v>1751</v>
      </c>
      <c r="B2021" s="12" t="s">
        <v>608</v>
      </c>
    </row>
    <row r="2022" spans="1:2" x14ac:dyDescent="0.25">
      <c r="A2022" s="11">
        <v>1752</v>
      </c>
      <c r="B2022" s="12" t="s">
        <v>610</v>
      </c>
    </row>
    <row r="2023" spans="1:2" x14ac:dyDescent="0.25">
      <c r="A2023" s="11">
        <v>1753</v>
      </c>
      <c r="B2023" s="12" t="s">
        <v>612</v>
      </c>
    </row>
    <row r="2024" spans="1:2" x14ac:dyDescent="0.25">
      <c r="A2024" s="11">
        <v>1754</v>
      </c>
      <c r="B2024" s="12" t="s">
        <v>1815</v>
      </c>
    </row>
    <row r="2025" spans="1:2" x14ac:dyDescent="0.25">
      <c r="A2025" s="11">
        <v>1755</v>
      </c>
      <c r="B2025" s="12" t="s">
        <v>614</v>
      </c>
    </row>
    <row r="2026" spans="1:2" x14ac:dyDescent="0.25">
      <c r="A2026" s="11">
        <v>1756</v>
      </c>
      <c r="B2026" s="12" t="s">
        <v>616</v>
      </c>
    </row>
    <row r="2027" spans="1:2" x14ac:dyDescent="0.25">
      <c r="A2027" s="11">
        <v>1758</v>
      </c>
      <c r="B2027" s="12" t="s">
        <v>618</v>
      </c>
    </row>
    <row r="2028" spans="1:2" x14ac:dyDescent="0.25">
      <c r="A2028" s="11">
        <v>1759</v>
      </c>
      <c r="B2028" s="12" t="s">
        <v>619</v>
      </c>
    </row>
    <row r="2029" spans="1:2" x14ac:dyDescent="0.25">
      <c r="A2029" s="11">
        <v>1760</v>
      </c>
      <c r="B2029" s="12" t="s">
        <v>620</v>
      </c>
    </row>
    <row r="2030" spans="1:2" x14ac:dyDescent="0.25">
      <c r="A2030" s="11">
        <v>1761</v>
      </c>
      <c r="B2030" s="12" t="s">
        <v>1816</v>
      </c>
    </row>
    <row r="2031" spans="1:2" x14ac:dyDescent="0.25">
      <c r="A2031" s="11">
        <v>1762</v>
      </c>
      <c r="B2031" s="12" t="s">
        <v>622</v>
      </c>
    </row>
    <row r="2032" spans="1:2" x14ac:dyDescent="0.25">
      <c r="A2032" s="11">
        <v>1763</v>
      </c>
      <c r="B2032" s="12" t="s">
        <v>1817</v>
      </c>
    </row>
    <row r="2033" spans="1:2" x14ac:dyDescent="0.25">
      <c r="A2033" s="11">
        <v>1764</v>
      </c>
      <c r="B2033" s="12" t="s">
        <v>1818</v>
      </c>
    </row>
    <row r="2034" spans="1:2" x14ac:dyDescent="0.25">
      <c r="A2034" s="11">
        <v>1765</v>
      </c>
      <c r="B2034" s="12" t="s">
        <v>624</v>
      </c>
    </row>
    <row r="2035" spans="1:2" x14ac:dyDescent="0.25">
      <c r="A2035" s="11">
        <v>1766</v>
      </c>
      <c r="B2035" s="12" t="s">
        <v>626</v>
      </c>
    </row>
    <row r="2036" spans="1:2" x14ac:dyDescent="0.25">
      <c r="A2036" s="11">
        <v>1767</v>
      </c>
      <c r="B2036" s="12" t="s">
        <v>1819</v>
      </c>
    </row>
    <row r="2037" spans="1:2" x14ac:dyDescent="0.25">
      <c r="A2037" s="11">
        <v>1768</v>
      </c>
      <c r="B2037" s="12" t="s">
        <v>1820</v>
      </c>
    </row>
    <row r="2038" spans="1:2" x14ac:dyDescent="0.25">
      <c r="A2038" s="11">
        <v>1769</v>
      </c>
      <c r="B2038" s="12" t="s">
        <v>1821</v>
      </c>
    </row>
    <row r="2039" spans="1:2" x14ac:dyDescent="0.25">
      <c r="A2039" s="11">
        <v>1770</v>
      </c>
      <c r="B2039" s="12" t="s">
        <v>1822</v>
      </c>
    </row>
    <row r="2040" spans="1:2" x14ac:dyDescent="0.25">
      <c r="A2040" s="11">
        <v>1771</v>
      </c>
      <c r="B2040" s="12" t="s">
        <v>1823</v>
      </c>
    </row>
    <row r="2041" spans="1:2" x14ac:dyDescent="0.25">
      <c r="A2041" s="11">
        <v>1772</v>
      </c>
      <c r="B2041" s="12" t="s">
        <v>627</v>
      </c>
    </row>
    <row r="2042" spans="1:2" x14ac:dyDescent="0.25">
      <c r="A2042" s="11">
        <v>1773</v>
      </c>
      <c r="B2042" s="12" t="s">
        <v>629</v>
      </c>
    </row>
    <row r="2043" spans="1:2" x14ac:dyDescent="0.25">
      <c r="A2043" s="11">
        <v>1774</v>
      </c>
      <c r="B2043" s="12" t="s">
        <v>1824</v>
      </c>
    </row>
    <row r="2044" spans="1:2" x14ac:dyDescent="0.25">
      <c r="A2044" s="11">
        <v>1775</v>
      </c>
      <c r="B2044" s="12" t="s">
        <v>631</v>
      </c>
    </row>
    <row r="2045" spans="1:2" x14ac:dyDescent="0.25">
      <c r="A2045" s="11">
        <v>1776</v>
      </c>
      <c r="B2045" s="12" t="s">
        <v>1825</v>
      </c>
    </row>
    <row r="2046" spans="1:2" x14ac:dyDescent="0.25">
      <c r="A2046" s="11">
        <v>1779</v>
      </c>
      <c r="B2046" s="12" t="s">
        <v>632</v>
      </c>
    </row>
    <row r="2047" spans="1:2" x14ac:dyDescent="0.25">
      <c r="A2047" s="11">
        <v>1780</v>
      </c>
      <c r="B2047" s="12" t="s">
        <v>634</v>
      </c>
    </row>
    <row r="2048" spans="1:2" x14ac:dyDescent="0.25">
      <c r="A2048" s="11">
        <v>1781</v>
      </c>
      <c r="B2048" s="12" t="s">
        <v>1826</v>
      </c>
    </row>
    <row r="2049" spans="1:2" x14ac:dyDescent="0.25">
      <c r="A2049" s="11">
        <v>1782</v>
      </c>
      <c r="B2049" s="12" t="s">
        <v>1827</v>
      </c>
    </row>
    <row r="2050" spans="1:2" x14ac:dyDescent="0.25">
      <c r="A2050" s="11">
        <v>1783</v>
      </c>
      <c r="B2050" s="12" t="s">
        <v>1010</v>
      </c>
    </row>
    <row r="2051" spans="1:2" x14ac:dyDescent="0.25">
      <c r="A2051" s="11">
        <v>1784</v>
      </c>
      <c r="B2051" s="12" t="s">
        <v>1828</v>
      </c>
    </row>
    <row r="2052" spans="1:2" x14ac:dyDescent="0.25">
      <c r="A2052" s="11">
        <v>1785</v>
      </c>
      <c r="B2052" s="12" t="s">
        <v>635</v>
      </c>
    </row>
    <row r="2053" spans="1:2" x14ac:dyDescent="0.25">
      <c r="A2053" s="11">
        <v>1786</v>
      </c>
      <c r="B2053" s="12" t="s">
        <v>637</v>
      </c>
    </row>
    <row r="2054" spans="1:2" x14ac:dyDescent="0.25">
      <c r="A2054" s="11">
        <v>1788</v>
      </c>
      <c r="B2054" s="12" t="s">
        <v>1829</v>
      </c>
    </row>
    <row r="2055" spans="1:2" x14ac:dyDescent="0.25">
      <c r="A2055" s="11">
        <v>1789</v>
      </c>
      <c r="B2055" s="12" t="s">
        <v>903</v>
      </c>
    </row>
    <row r="2056" spans="1:2" x14ac:dyDescent="0.25">
      <c r="A2056" s="11">
        <v>1790</v>
      </c>
      <c r="B2056" s="12" t="s">
        <v>638</v>
      </c>
    </row>
    <row r="2057" spans="1:2" x14ac:dyDescent="0.25">
      <c r="A2057" s="11">
        <v>1791</v>
      </c>
      <c r="B2057" s="12" t="s">
        <v>1830</v>
      </c>
    </row>
    <row r="2058" spans="1:2" x14ac:dyDescent="0.25">
      <c r="A2058" s="11">
        <v>1792</v>
      </c>
      <c r="B2058" s="12" t="s">
        <v>639</v>
      </c>
    </row>
    <row r="2059" spans="1:2" x14ac:dyDescent="0.25">
      <c r="A2059" s="11">
        <v>1794</v>
      </c>
      <c r="B2059" s="12" t="s">
        <v>1011</v>
      </c>
    </row>
    <row r="2060" spans="1:2" x14ac:dyDescent="0.25">
      <c r="A2060" s="11">
        <v>1795</v>
      </c>
      <c r="B2060" s="12" t="s">
        <v>1831</v>
      </c>
    </row>
    <row r="2061" spans="1:2" x14ac:dyDescent="0.25">
      <c r="A2061" s="11">
        <v>1797</v>
      </c>
      <c r="B2061" s="12" t="s">
        <v>1832</v>
      </c>
    </row>
    <row r="2062" spans="1:2" x14ac:dyDescent="0.25">
      <c r="A2062" s="11">
        <v>1798</v>
      </c>
      <c r="B2062" s="12" t="s">
        <v>1833</v>
      </c>
    </row>
    <row r="2063" spans="1:2" x14ac:dyDescent="0.25">
      <c r="A2063" s="11">
        <v>1799</v>
      </c>
      <c r="B2063" s="12" t="s">
        <v>904</v>
      </c>
    </row>
    <row r="2064" spans="1:2" x14ac:dyDescent="0.25">
      <c r="A2064" s="11">
        <v>1800</v>
      </c>
      <c r="B2064" s="12" t="s">
        <v>641</v>
      </c>
    </row>
    <row r="2065" spans="1:2" x14ac:dyDescent="0.25">
      <c r="A2065" s="11">
        <v>1801</v>
      </c>
      <c r="B2065" s="12" t="s">
        <v>643</v>
      </c>
    </row>
    <row r="2066" spans="1:2" x14ac:dyDescent="0.25">
      <c r="A2066" s="11">
        <v>1802</v>
      </c>
      <c r="B2066" s="12" t="s">
        <v>645</v>
      </c>
    </row>
    <row r="2067" spans="1:2" x14ac:dyDescent="0.25">
      <c r="A2067" s="11">
        <v>1803</v>
      </c>
      <c r="B2067" s="12" t="s">
        <v>647</v>
      </c>
    </row>
    <row r="2068" spans="1:2" x14ac:dyDescent="0.25">
      <c r="A2068" s="11">
        <v>1804</v>
      </c>
      <c r="B2068" s="12" t="s">
        <v>1834</v>
      </c>
    </row>
    <row r="2069" spans="1:2" x14ac:dyDescent="0.25">
      <c r="A2069" s="11">
        <v>1805</v>
      </c>
      <c r="B2069" s="12" t="s">
        <v>1835</v>
      </c>
    </row>
    <row r="2070" spans="1:2" x14ac:dyDescent="0.25">
      <c r="A2070" s="11">
        <v>1806</v>
      </c>
      <c r="B2070" s="12" t="s">
        <v>648</v>
      </c>
    </row>
    <row r="2071" spans="1:2" x14ac:dyDescent="0.25">
      <c r="A2071" s="11">
        <v>1807</v>
      </c>
      <c r="B2071" s="12" t="s">
        <v>1836</v>
      </c>
    </row>
    <row r="2072" spans="1:2" x14ac:dyDescent="0.25">
      <c r="A2072" s="11">
        <v>1808</v>
      </c>
      <c r="B2072" s="12" t="s">
        <v>650</v>
      </c>
    </row>
    <row r="2073" spans="1:2" x14ac:dyDescent="0.25">
      <c r="A2073" s="11">
        <v>1809</v>
      </c>
      <c r="B2073" s="12" t="s">
        <v>1837</v>
      </c>
    </row>
    <row r="2074" spans="1:2" x14ac:dyDescent="0.25">
      <c r="A2074" s="11">
        <v>1810</v>
      </c>
      <c r="B2074" s="12" t="s">
        <v>1838</v>
      </c>
    </row>
    <row r="2075" spans="1:2" x14ac:dyDescent="0.25">
      <c r="A2075" s="11">
        <v>1811</v>
      </c>
      <c r="B2075" s="12" t="s">
        <v>1839</v>
      </c>
    </row>
    <row r="2076" spans="1:2" x14ac:dyDescent="0.25">
      <c r="A2076" s="11">
        <v>1812</v>
      </c>
      <c r="B2076" s="12" t="s">
        <v>1840</v>
      </c>
    </row>
    <row r="2077" spans="1:2" x14ac:dyDescent="0.25">
      <c r="A2077" s="11">
        <v>1813</v>
      </c>
      <c r="B2077" s="12" t="s">
        <v>1841</v>
      </c>
    </row>
    <row r="2078" spans="1:2" x14ac:dyDescent="0.25">
      <c r="A2078" s="11">
        <v>1815</v>
      </c>
      <c r="B2078" s="12" t="s">
        <v>1842</v>
      </c>
    </row>
    <row r="2079" spans="1:2" x14ac:dyDescent="0.25">
      <c r="A2079" s="11">
        <v>1816</v>
      </c>
      <c r="B2079" s="12" t="s">
        <v>1843</v>
      </c>
    </row>
    <row r="2080" spans="1:2" x14ac:dyDescent="0.25">
      <c r="A2080" s="11">
        <v>1817</v>
      </c>
      <c r="B2080" s="12" t="s">
        <v>1844</v>
      </c>
    </row>
    <row r="2081" spans="1:2" x14ac:dyDescent="0.25">
      <c r="A2081" s="11">
        <v>1818</v>
      </c>
      <c r="B2081" s="12" t="s">
        <v>1845</v>
      </c>
    </row>
    <row r="2082" spans="1:2" x14ac:dyDescent="0.25">
      <c r="A2082" s="11">
        <v>1819</v>
      </c>
      <c r="B2082" s="12" t="s">
        <v>656</v>
      </c>
    </row>
    <row r="2083" spans="1:2" x14ac:dyDescent="0.25">
      <c r="A2083" s="11">
        <v>1820</v>
      </c>
      <c r="B2083" s="12" t="s">
        <v>658</v>
      </c>
    </row>
    <row r="2084" spans="1:2" x14ac:dyDescent="0.25">
      <c r="A2084" s="11">
        <v>2194</v>
      </c>
      <c r="B2084" s="12" t="s">
        <v>1846</v>
      </c>
    </row>
    <row r="2085" spans="1:2" x14ac:dyDescent="0.25">
      <c r="A2085" s="11">
        <v>2195</v>
      </c>
      <c r="B2085" s="12" t="s">
        <v>659</v>
      </c>
    </row>
    <row r="2086" spans="1:2" x14ac:dyDescent="0.25">
      <c r="A2086" s="11">
        <v>2238</v>
      </c>
      <c r="B2086" s="12" t="s">
        <v>1195</v>
      </c>
    </row>
    <row r="2087" spans="1:2" x14ac:dyDescent="0.25">
      <c r="A2087" s="11">
        <v>2304</v>
      </c>
      <c r="B2087" s="12" t="s">
        <v>1847</v>
      </c>
    </row>
    <row r="2088" spans="1:2" x14ac:dyDescent="0.25">
      <c r="A2088" s="11">
        <v>2447</v>
      </c>
      <c r="B2088" s="12" t="s">
        <v>1848</v>
      </c>
    </row>
    <row r="2089" spans="1:2" x14ac:dyDescent="0.25">
      <c r="A2089" s="11">
        <v>2450</v>
      </c>
      <c r="B2089" s="12" t="s">
        <v>1849</v>
      </c>
    </row>
    <row r="2090" spans="1:2" x14ac:dyDescent="0.25">
      <c r="A2090" s="11">
        <v>2516</v>
      </c>
      <c r="B2090" s="12" t="s">
        <v>1850</v>
      </c>
    </row>
    <row r="2091" spans="1:2" x14ac:dyDescent="0.25">
      <c r="A2091" s="11">
        <v>2517</v>
      </c>
      <c r="B2091" s="12" t="s">
        <v>1851</v>
      </c>
    </row>
    <row r="2092" spans="1:2" x14ac:dyDescent="0.25">
      <c r="A2092" s="11">
        <v>2534</v>
      </c>
      <c r="B2092" s="12" t="s">
        <v>1852</v>
      </c>
    </row>
    <row r="2093" spans="1:2" x14ac:dyDescent="0.25">
      <c r="A2093" s="11">
        <v>2561</v>
      </c>
      <c r="B2093" s="12" t="s">
        <v>1853</v>
      </c>
    </row>
    <row r="2094" spans="1:2" x14ac:dyDescent="0.25">
      <c r="A2094" s="11">
        <v>2562</v>
      </c>
      <c r="B2094" s="12" t="s">
        <v>1854</v>
      </c>
    </row>
    <row r="2095" spans="1:2" x14ac:dyDescent="0.25">
      <c r="A2095" s="11">
        <v>2641</v>
      </c>
      <c r="B2095" s="12" t="s">
        <v>1855</v>
      </c>
    </row>
    <row r="2096" spans="1:2" x14ac:dyDescent="0.25">
      <c r="A2096" s="11">
        <v>2678</v>
      </c>
      <c r="B2096" s="12" t="s">
        <v>1016</v>
      </c>
    </row>
    <row r="2097" spans="1:2" x14ac:dyDescent="0.25">
      <c r="A2097" s="11">
        <v>2696</v>
      </c>
      <c r="B2097" s="12" t="s">
        <v>1856</v>
      </c>
    </row>
    <row r="2098" spans="1:2" x14ac:dyDescent="0.25">
      <c r="A2098" s="11">
        <v>2719</v>
      </c>
      <c r="B2098" s="12" t="s">
        <v>1857</v>
      </c>
    </row>
    <row r="2099" spans="1:2" x14ac:dyDescent="0.25">
      <c r="A2099" s="11">
        <v>2763</v>
      </c>
      <c r="B2099" s="12" t="s">
        <v>1858</v>
      </c>
    </row>
    <row r="2100" spans="1:2" x14ac:dyDescent="0.25">
      <c r="A2100" s="11">
        <v>2764</v>
      </c>
      <c r="B2100" s="12" t="s">
        <v>1859</v>
      </c>
    </row>
    <row r="2101" spans="1:2" x14ac:dyDescent="0.25">
      <c r="A2101" s="11">
        <v>2768</v>
      </c>
      <c r="B2101" s="12" t="s">
        <v>1860</v>
      </c>
    </row>
    <row r="2102" spans="1:2" x14ac:dyDescent="0.25">
      <c r="A2102" s="11">
        <v>2770</v>
      </c>
      <c r="B2102" s="12" t="s">
        <v>744</v>
      </c>
    </row>
    <row r="2103" spans="1:2" x14ac:dyDescent="0.25">
      <c r="A2103" s="11">
        <v>2825</v>
      </c>
      <c r="B2103" s="12" t="s">
        <v>1861</v>
      </c>
    </row>
    <row r="2104" spans="1:2" x14ac:dyDescent="0.25">
      <c r="A2104" s="11">
        <v>2826</v>
      </c>
      <c r="B2104" s="12" t="s">
        <v>756</v>
      </c>
    </row>
    <row r="2105" spans="1:2" x14ac:dyDescent="0.25">
      <c r="A2105" s="11">
        <v>2831</v>
      </c>
      <c r="B2105" s="12" t="s">
        <v>1862</v>
      </c>
    </row>
    <row r="2106" spans="1:2" x14ac:dyDescent="0.25">
      <c r="A2106" s="11">
        <v>2846</v>
      </c>
      <c r="B2106" s="12" t="s">
        <v>759</v>
      </c>
    </row>
    <row r="2107" spans="1:2" x14ac:dyDescent="0.25">
      <c r="A2107" s="11">
        <v>2891</v>
      </c>
      <c r="B2107" s="12" t="s">
        <v>772</v>
      </c>
    </row>
    <row r="2108" spans="1:2" x14ac:dyDescent="0.25">
      <c r="A2108" s="11">
        <v>2998</v>
      </c>
      <c r="B2108" s="12" t="s">
        <v>1863</v>
      </c>
    </row>
    <row r="2109" spans="1:2" x14ac:dyDescent="0.25">
      <c r="A2109" s="11">
        <v>529</v>
      </c>
      <c r="B2109" s="12" t="s">
        <v>1864</v>
      </c>
    </row>
    <row r="2110" spans="1:2" x14ac:dyDescent="0.25">
      <c r="A2110" s="11">
        <v>547</v>
      </c>
      <c r="B2110" s="12" t="s">
        <v>1865</v>
      </c>
    </row>
    <row r="2111" spans="1:2" x14ac:dyDescent="0.25">
      <c r="A2111" s="11">
        <v>566</v>
      </c>
      <c r="B2111" s="12" t="s">
        <v>1866</v>
      </c>
    </row>
    <row r="2112" spans="1:2" x14ac:dyDescent="0.25">
      <c r="A2112" s="11">
        <v>604</v>
      </c>
      <c r="B2112" s="12" t="s">
        <v>1867</v>
      </c>
    </row>
    <row r="2113" spans="1:2" x14ac:dyDescent="0.25">
      <c r="A2113" s="11">
        <v>640</v>
      </c>
      <c r="B2113" s="12" t="s">
        <v>1868</v>
      </c>
    </row>
    <row r="2114" spans="1:2" x14ac:dyDescent="0.25">
      <c r="A2114" s="11">
        <v>668</v>
      </c>
      <c r="B2114" s="12" t="s">
        <v>1869</v>
      </c>
    </row>
    <row r="2115" spans="1:2" x14ac:dyDescent="0.25">
      <c r="A2115" s="11">
        <v>717</v>
      </c>
      <c r="B2115" s="12" t="s">
        <v>1870</v>
      </c>
    </row>
    <row r="2116" spans="1:2" x14ac:dyDescent="0.25">
      <c r="A2116" s="11">
        <v>1923</v>
      </c>
      <c r="B2116" s="12" t="s">
        <v>1871</v>
      </c>
    </row>
    <row r="2117" spans="1:2" x14ac:dyDescent="0.25">
      <c r="A2117" s="11">
        <v>1925</v>
      </c>
      <c r="B2117" s="12" t="s">
        <v>1872</v>
      </c>
    </row>
    <row r="2118" spans="1:2" x14ac:dyDescent="0.25">
      <c r="A2118" s="11">
        <v>1929</v>
      </c>
      <c r="B2118" s="12" t="s">
        <v>1873</v>
      </c>
    </row>
    <row r="2119" spans="1:2" x14ac:dyDescent="0.25">
      <c r="A2119" s="11">
        <v>1930</v>
      </c>
      <c r="B2119" s="12" t="s">
        <v>1874</v>
      </c>
    </row>
    <row r="2120" spans="1:2" x14ac:dyDescent="0.25">
      <c r="A2120" s="11">
        <v>1931</v>
      </c>
      <c r="B2120" s="12" t="s">
        <v>1875</v>
      </c>
    </row>
    <row r="2121" spans="1:2" x14ac:dyDescent="0.25">
      <c r="A2121" s="11">
        <v>1932</v>
      </c>
      <c r="B2121" s="12" t="s">
        <v>1876</v>
      </c>
    </row>
    <row r="2122" spans="1:2" x14ac:dyDescent="0.25">
      <c r="A2122" s="11">
        <v>1937</v>
      </c>
      <c r="B2122" s="12" t="s">
        <v>1877</v>
      </c>
    </row>
    <row r="2123" spans="1:2" x14ac:dyDescent="0.25">
      <c r="A2123" s="11">
        <v>1938</v>
      </c>
      <c r="B2123" s="12" t="s">
        <v>1878</v>
      </c>
    </row>
    <row r="2124" spans="1:2" x14ac:dyDescent="0.25">
      <c r="A2124" s="11">
        <v>1940</v>
      </c>
      <c r="B2124" s="12" t="s">
        <v>1879</v>
      </c>
    </row>
    <row r="2125" spans="1:2" x14ac:dyDescent="0.25">
      <c r="A2125" s="11">
        <v>1943</v>
      </c>
      <c r="B2125" s="12" t="s">
        <v>1880</v>
      </c>
    </row>
    <row r="2126" spans="1:2" x14ac:dyDescent="0.25">
      <c r="A2126" s="11">
        <v>1945</v>
      </c>
      <c r="B2126" s="12" t="s">
        <v>1881</v>
      </c>
    </row>
    <row r="2127" spans="1:2" x14ac:dyDescent="0.25">
      <c r="A2127" s="11">
        <v>1947</v>
      </c>
      <c r="B2127" s="12" t="s">
        <v>1882</v>
      </c>
    </row>
    <row r="2128" spans="1:2" x14ac:dyDescent="0.25">
      <c r="A2128" s="11">
        <v>1948</v>
      </c>
      <c r="B2128" s="12" t="s">
        <v>1883</v>
      </c>
    </row>
    <row r="2129" spans="1:2" x14ac:dyDescent="0.25">
      <c r="A2129" s="11">
        <v>1950</v>
      </c>
      <c r="B2129" s="12" t="s">
        <v>1884</v>
      </c>
    </row>
    <row r="2130" spans="1:2" x14ac:dyDescent="0.25">
      <c r="A2130" s="11">
        <v>1951</v>
      </c>
      <c r="B2130" s="12" t="s">
        <v>1885</v>
      </c>
    </row>
    <row r="2131" spans="1:2" x14ac:dyDescent="0.25">
      <c r="A2131" s="11">
        <v>1952</v>
      </c>
      <c r="B2131" s="12" t="s">
        <v>1886</v>
      </c>
    </row>
    <row r="2132" spans="1:2" x14ac:dyDescent="0.25">
      <c r="A2132" s="11">
        <v>1955</v>
      </c>
      <c r="B2132" s="12" t="s">
        <v>1887</v>
      </c>
    </row>
    <row r="2133" spans="1:2" x14ac:dyDescent="0.25">
      <c r="A2133" s="11">
        <v>1957</v>
      </c>
      <c r="B2133" s="12" t="s">
        <v>1888</v>
      </c>
    </row>
    <row r="2134" spans="1:2" x14ac:dyDescent="0.25">
      <c r="A2134" s="11">
        <v>1959</v>
      </c>
      <c r="B2134" s="12" t="s">
        <v>1889</v>
      </c>
    </row>
    <row r="2135" spans="1:2" x14ac:dyDescent="0.25">
      <c r="A2135" s="11">
        <v>1962</v>
      </c>
      <c r="B2135" s="12" t="s">
        <v>1890</v>
      </c>
    </row>
    <row r="2136" spans="1:2" x14ac:dyDescent="0.25">
      <c r="A2136" s="11">
        <v>1964</v>
      </c>
      <c r="B2136" s="12" t="s">
        <v>1891</v>
      </c>
    </row>
    <row r="2137" spans="1:2" x14ac:dyDescent="0.25">
      <c r="A2137" s="11">
        <v>1967</v>
      </c>
      <c r="B2137" s="12" t="s">
        <v>1892</v>
      </c>
    </row>
    <row r="2138" spans="1:2" x14ac:dyDescent="0.25">
      <c r="A2138" s="11">
        <v>1969</v>
      </c>
      <c r="B2138" s="12" t="s">
        <v>1893</v>
      </c>
    </row>
    <row r="2139" spans="1:2" x14ac:dyDescent="0.25">
      <c r="A2139" s="11">
        <v>1970</v>
      </c>
      <c r="B2139" s="12" t="s">
        <v>1894</v>
      </c>
    </row>
    <row r="2140" spans="1:2" x14ac:dyDescent="0.25">
      <c r="A2140" s="11">
        <v>1971</v>
      </c>
      <c r="B2140" s="12" t="s">
        <v>1895</v>
      </c>
    </row>
    <row r="2141" spans="1:2" x14ac:dyDescent="0.25">
      <c r="A2141" s="11">
        <v>1972</v>
      </c>
      <c r="B2141" s="12" t="s">
        <v>1896</v>
      </c>
    </row>
    <row r="2142" spans="1:2" x14ac:dyDescent="0.25">
      <c r="A2142" s="11">
        <v>1975</v>
      </c>
      <c r="B2142" s="12" t="s">
        <v>1897</v>
      </c>
    </row>
    <row r="2143" spans="1:2" x14ac:dyDescent="0.25">
      <c r="A2143" s="11">
        <v>1976</v>
      </c>
      <c r="B2143" s="12" t="s">
        <v>1898</v>
      </c>
    </row>
    <row r="2144" spans="1:2" x14ac:dyDescent="0.25">
      <c r="A2144" s="11">
        <v>1977</v>
      </c>
      <c r="B2144" s="12" t="s">
        <v>1899</v>
      </c>
    </row>
    <row r="2145" spans="1:2" x14ac:dyDescent="0.25">
      <c r="A2145" s="11">
        <v>1979</v>
      </c>
      <c r="B2145" s="12" t="s">
        <v>1900</v>
      </c>
    </row>
    <row r="2146" spans="1:2" x14ac:dyDescent="0.25">
      <c r="A2146" s="11">
        <v>1980</v>
      </c>
      <c r="B2146" s="12" t="s">
        <v>1378</v>
      </c>
    </row>
    <row r="2147" spans="1:2" x14ac:dyDescent="0.25">
      <c r="A2147" s="11">
        <v>1981</v>
      </c>
      <c r="B2147" s="12" t="s">
        <v>1901</v>
      </c>
    </row>
    <row r="2148" spans="1:2" x14ac:dyDescent="0.25">
      <c r="A2148" s="11">
        <v>1984</v>
      </c>
      <c r="B2148" s="12" t="s">
        <v>1902</v>
      </c>
    </row>
    <row r="2149" spans="1:2" x14ac:dyDescent="0.25">
      <c r="A2149" s="11">
        <v>1985</v>
      </c>
      <c r="B2149" s="12" t="s">
        <v>1903</v>
      </c>
    </row>
    <row r="2150" spans="1:2" x14ac:dyDescent="0.25">
      <c r="A2150" s="11">
        <v>1986</v>
      </c>
      <c r="B2150" s="12" t="s">
        <v>1904</v>
      </c>
    </row>
    <row r="2151" spans="1:2" x14ac:dyDescent="0.25">
      <c r="A2151" s="11">
        <v>1988</v>
      </c>
      <c r="B2151" s="12" t="s">
        <v>1905</v>
      </c>
    </row>
    <row r="2152" spans="1:2" x14ac:dyDescent="0.25">
      <c r="A2152" s="11">
        <v>1991</v>
      </c>
      <c r="B2152" s="12" t="s">
        <v>1906</v>
      </c>
    </row>
    <row r="2153" spans="1:2" x14ac:dyDescent="0.25">
      <c r="A2153" s="11">
        <v>1992</v>
      </c>
      <c r="B2153" s="12" t="s">
        <v>1907</v>
      </c>
    </row>
    <row r="2154" spans="1:2" x14ac:dyDescent="0.25">
      <c r="A2154" s="11">
        <v>1993</v>
      </c>
      <c r="B2154" s="12" t="s">
        <v>1908</v>
      </c>
    </row>
    <row r="2155" spans="1:2" x14ac:dyDescent="0.25">
      <c r="A2155" s="11">
        <v>1995</v>
      </c>
      <c r="B2155" s="12" t="s">
        <v>1909</v>
      </c>
    </row>
    <row r="2156" spans="1:2" x14ac:dyDescent="0.25">
      <c r="A2156" s="11">
        <v>1999</v>
      </c>
      <c r="B2156" s="12" t="s">
        <v>1910</v>
      </c>
    </row>
    <row r="2157" spans="1:2" x14ac:dyDescent="0.25">
      <c r="A2157" s="11">
        <v>2000</v>
      </c>
      <c r="B2157" s="12" t="s">
        <v>1911</v>
      </c>
    </row>
    <row r="2158" spans="1:2" x14ac:dyDescent="0.25">
      <c r="A2158" s="11">
        <v>2001</v>
      </c>
      <c r="B2158" s="12" t="s">
        <v>1912</v>
      </c>
    </row>
    <row r="2159" spans="1:2" x14ac:dyDescent="0.25">
      <c r="A2159" s="11">
        <v>2002</v>
      </c>
      <c r="B2159" s="12" t="s">
        <v>1913</v>
      </c>
    </row>
    <row r="2160" spans="1:2" x14ac:dyDescent="0.25">
      <c r="A2160" s="11">
        <v>2003</v>
      </c>
      <c r="B2160" s="12" t="s">
        <v>1914</v>
      </c>
    </row>
    <row r="2161" spans="1:2" x14ac:dyDescent="0.25">
      <c r="A2161" s="11">
        <v>2006</v>
      </c>
      <c r="B2161" s="12" t="s">
        <v>1915</v>
      </c>
    </row>
    <row r="2162" spans="1:2" x14ac:dyDescent="0.25">
      <c r="A2162" s="11">
        <v>2007</v>
      </c>
      <c r="B2162" s="12" t="s">
        <v>1916</v>
      </c>
    </row>
    <row r="2163" spans="1:2" x14ac:dyDescent="0.25">
      <c r="A2163" s="11">
        <v>2010</v>
      </c>
      <c r="B2163" s="12" t="s">
        <v>1917</v>
      </c>
    </row>
    <row r="2164" spans="1:2" x14ac:dyDescent="0.25">
      <c r="A2164" s="11">
        <v>2013</v>
      </c>
      <c r="B2164" s="12" t="s">
        <v>1918</v>
      </c>
    </row>
    <row r="2165" spans="1:2" x14ac:dyDescent="0.25">
      <c r="A2165" s="11">
        <v>2014</v>
      </c>
      <c r="B2165" s="12" t="s">
        <v>1919</v>
      </c>
    </row>
    <row r="2166" spans="1:2" x14ac:dyDescent="0.25">
      <c r="A2166" s="11">
        <v>2015</v>
      </c>
      <c r="B2166" s="12" t="s">
        <v>1920</v>
      </c>
    </row>
    <row r="2167" spans="1:2" x14ac:dyDescent="0.25">
      <c r="A2167" s="11">
        <v>2016</v>
      </c>
      <c r="B2167" s="12" t="s">
        <v>1921</v>
      </c>
    </row>
    <row r="2168" spans="1:2" x14ac:dyDescent="0.25">
      <c r="A2168" s="11">
        <v>2017</v>
      </c>
      <c r="B2168" s="12" t="s">
        <v>1922</v>
      </c>
    </row>
    <row r="2169" spans="1:2" x14ac:dyDescent="0.25">
      <c r="A2169" s="11">
        <v>2018</v>
      </c>
      <c r="B2169" s="12" t="s">
        <v>1923</v>
      </c>
    </row>
    <row r="2170" spans="1:2" x14ac:dyDescent="0.25">
      <c r="A2170" s="11">
        <v>2019</v>
      </c>
      <c r="B2170" s="12" t="s">
        <v>1924</v>
      </c>
    </row>
    <row r="2171" spans="1:2" x14ac:dyDescent="0.25">
      <c r="A2171" s="11">
        <v>2020</v>
      </c>
      <c r="B2171" s="12" t="s">
        <v>1925</v>
      </c>
    </row>
    <row r="2172" spans="1:2" x14ac:dyDescent="0.25">
      <c r="A2172" s="11">
        <v>2022</v>
      </c>
      <c r="B2172" s="12" t="s">
        <v>1926</v>
      </c>
    </row>
    <row r="2173" spans="1:2" x14ac:dyDescent="0.25">
      <c r="A2173" s="11">
        <v>2023</v>
      </c>
      <c r="B2173" s="12" t="s">
        <v>1927</v>
      </c>
    </row>
    <row r="2174" spans="1:2" x14ac:dyDescent="0.25">
      <c r="A2174" s="11">
        <v>2026</v>
      </c>
      <c r="B2174" s="12" t="s">
        <v>1928</v>
      </c>
    </row>
    <row r="2175" spans="1:2" x14ac:dyDescent="0.25">
      <c r="A2175" s="11">
        <v>2027</v>
      </c>
      <c r="B2175" s="12" t="s">
        <v>1929</v>
      </c>
    </row>
    <row r="2176" spans="1:2" x14ac:dyDescent="0.25">
      <c r="A2176" s="11">
        <v>2028</v>
      </c>
      <c r="B2176" s="12" t="s">
        <v>1930</v>
      </c>
    </row>
    <row r="2177" spans="1:2" x14ac:dyDescent="0.25">
      <c r="A2177" s="11">
        <v>2029</v>
      </c>
      <c r="B2177" s="12" t="s">
        <v>1931</v>
      </c>
    </row>
    <row r="2178" spans="1:2" x14ac:dyDescent="0.25">
      <c r="A2178" s="11">
        <v>2030</v>
      </c>
      <c r="B2178" s="12" t="s">
        <v>1932</v>
      </c>
    </row>
    <row r="2179" spans="1:2" x14ac:dyDescent="0.25">
      <c r="A2179" s="11">
        <v>2031</v>
      </c>
      <c r="B2179" s="12" t="s">
        <v>1933</v>
      </c>
    </row>
    <row r="2180" spans="1:2" x14ac:dyDescent="0.25">
      <c r="A2180" s="11">
        <v>2032</v>
      </c>
      <c r="B2180" s="12" t="s">
        <v>1934</v>
      </c>
    </row>
    <row r="2181" spans="1:2" x14ac:dyDescent="0.25">
      <c r="A2181" s="11">
        <v>2034</v>
      </c>
      <c r="B2181" s="12" t="s">
        <v>1935</v>
      </c>
    </row>
    <row r="2182" spans="1:2" x14ac:dyDescent="0.25">
      <c r="A2182" s="11">
        <v>2035</v>
      </c>
      <c r="B2182" s="12" t="s">
        <v>1936</v>
      </c>
    </row>
    <row r="2183" spans="1:2" x14ac:dyDescent="0.25">
      <c r="A2183" s="11">
        <v>2036</v>
      </c>
      <c r="B2183" s="12" t="s">
        <v>1937</v>
      </c>
    </row>
    <row r="2184" spans="1:2" x14ac:dyDescent="0.25">
      <c r="A2184" s="11">
        <v>2037</v>
      </c>
      <c r="B2184" s="12" t="s">
        <v>1938</v>
      </c>
    </row>
    <row r="2185" spans="1:2" x14ac:dyDescent="0.25">
      <c r="A2185" s="11">
        <v>2038</v>
      </c>
      <c r="B2185" s="12" t="s">
        <v>1939</v>
      </c>
    </row>
    <row r="2186" spans="1:2" x14ac:dyDescent="0.25">
      <c r="A2186" s="11">
        <v>2040</v>
      </c>
      <c r="B2186" s="12" t="s">
        <v>1940</v>
      </c>
    </row>
    <row r="2187" spans="1:2" x14ac:dyDescent="0.25">
      <c r="A2187" s="11">
        <v>2042</v>
      </c>
      <c r="B2187" s="12" t="s">
        <v>1941</v>
      </c>
    </row>
    <row r="2188" spans="1:2" x14ac:dyDescent="0.25">
      <c r="A2188" s="11">
        <v>2043</v>
      </c>
      <c r="B2188" s="12" t="s">
        <v>1942</v>
      </c>
    </row>
    <row r="2189" spans="1:2" x14ac:dyDescent="0.25">
      <c r="A2189" s="11">
        <v>2045</v>
      </c>
      <c r="B2189" s="12" t="s">
        <v>1943</v>
      </c>
    </row>
    <row r="2190" spans="1:2" x14ac:dyDescent="0.25">
      <c r="A2190" s="11">
        <v>2046</v>
      </c>
      <c r="B2190" s="12" t="s">
        <v>1944</v>
      </c>
    </row>
    <row r="2191" spans="1:2" x14ac:dyDescent="0.25">
      <c r="A2191" s="11">
        <v>2048</v>
      </c>
      <c r="B2191" s="12" t="s">
        <v>1945</v>
      </c>
    </row>
    <row r="2192" spans="1:2" x14ac:dyDescent="0.25">
      <c r="A2192" s="11">
        <v>2050</v>
      </c>
      <c r="B2192" s="12" t="s">
        <v>1946</v>
      </c>
    </row>
    <row r="2193" spans="1:2" x14ac:dyDescent="0.25">
      <c r="A2193" s="11">
        <v>2051</v>
      </c>
      <c r="B2193" s="12" t="s">
        <v>1947</v>
      </c>
    </row>
    <row r="2194" spans="1:2" x14ac:dyDescent="0.25">
      <c r="A2194" s="11">
        <v>2053</v>
      </c>
      <c r="B2194" s="12" t="s">
        <v>1948</v>
      </c>
    </row>
    <row r="2195" spans="1:2" x14ac:dyDescent="0.25">
      <c r="A2195" s="11">
        <v>2054</v>
      </c>
      <c r="B2195" s="12" t="s">
        <v>1949</v>
      </c>
    </row>
    <row r="2196" spans="1:2" x14ac:dyDescent="0.25">
      <c r="A2196" s="11">
        <v>2056</v>
      </c>
      <c r="B2196" s="12" t="s">
        <v>1950</v>
      </c>
    </row>
    <row r="2197" spans="1:2" x14ac:dyDescent="0.25">
      <c r="A2197" s="11">
        <v>2057</v>
      </c>
      <c r="B2197" s="12" t="s">
        <v>1951</v>
      </c>
    </row>
    <row r="2198" spans="1:2" x14ac:dyDescent="0.25">
      <c r="A2198" s="11">
        <v>2058</v>
      </c>
      <c r="B2198" s="12" t="s">
        <v>1952</v>
      </c>
    </row>
    <row r="2199" spans="1:2" x14ac:dyDescent="0.25">
      <c r="A2199" s="11">
        <v>2059</v>
      </c>
      <c r="B2199" s="12" t="s">
        <v>1953</v>
      </c>
    </row>
    <row r="2200" spans="1:2" x14ac:dyDescent="0.25">
      <c r="A2200" s="11">
        <v>2060</v>
      </c>
      <c r="B2200" s="12" t="s">
        <v>1954</v>
      </c>
    </row>
    <row r="2201" spans="1:2" x14ac:dyDescent="0.25">
      <c r="A2201" s="11">
        <v>2062</v>
      </c>
      <c r="B2201" s="12" t="s">
        <v>1955</v>
      </c>
    </row>
    <row r="2202" spans="1:2" x14ac:dyDescent="0.25">
      <c r="A2202" s="11">
        <v>2063</v>
      </c>
      <c r="B2202" s="12" t="s">
        <v>1956</v>
      </c>
    </row>
    <row r="2203" spans="1:2" x14ac:dyDescent="0.25">
      <c r="A2203" s="11">
        <v>2064</v>
      </c>
      <c r="B2203" s="12" t="s">
        <v>1957</v>
      </c>
    </row>
    <row r="2204" spans="1:2" x14ac:dyDescent="0.25">
      <c r="A2204" s="11">
        <v>2065</v>
      </c>
      <c r="B2204" s="12" t="s">
        <v>1958</v>
      </c>
    </row>
    <row r="2205" spans="1:2" x14ac:dyDescent="0.25">
      <c r="A2205" s="11">
        <v>2068</v>
      </c>
      <c r="B2205" s="12" t="s">
        <v>1959</v>
      </c>
    </row>
    <row r="2206" spans="1:2" x14ac:dyDescent="0.25">
      <c r="A2206" s="11">
        <v>2069</v>
      </c>
      <c r="B2206" s="12" t="s">
        <v>1960</v>
      </c>
    </row>
    <row r="2207" spans="1:2" x14ac:dyDescent="0.25">
      <c r="A2207" s="11">
        <v>2075</v>
      </c>
      <c r="B2207" s="12" t="s">
        <v>1961</v>
      </c>
    </row>
    <row r="2208" spans="1:2" x14ac:dyDescent="0.25">
      <c r="A2208" s="11">
        <v>2076</v>
      </c>
      <c r="B2208" s="12" t="s">
        <v>1962</v>
      </c>
    </row>
    <row r="2209" spans="1:2" x14ac:dyDescent="0.25">
      <c r="A2209" s="11">
        <v>2077</v>
      </c>
      <c r="B2209" s="12" t="s">
        <v>1963</v>
      </c>
    </row>
    <row r="2210" spans="1:2" x14ac:dyDescent="0.25">
      <c r="A2210" s="11">
        <v>2080</v>
      </c>
      <c r="B2210" s="12" t="s">
        <v>1964</v>
      </c>
    </row>
    <row r="2211" spans="1:2" x14ac:dyDescent="0.25">
      <c r="A2211" s="11">
        <v>2082</v>
      </c>
      <c r="B2211" s="12" t="s">
        <v>1965</v>
      </c>
    </row>
    <row r="2212" spans="1:2" x14ac:dyDescent="0.25">
      <c r="A2212" s="11">
        <v>2083</v>
      </c>
      <c r="B2212" s="12" t="s">
        <v>1966</v>
      </c>
    </row>
    <row r="2213" spans="1:2" x14ac:dyDescent="0.25">
      <c r="A2213" s="11">
        <v>2087</v>
      </c>
      <c r="B2213" s="12" t="s">
        <v>1967</v>
      </c>
    </row>
    <row r="2214" spans="1:2" x14ac:dyDescent="0.25">
      <c r="A2214" s="11">
        <v>2089</v>
      </c>
      <c r="B2214" s="12" t="s">
        <v>1968</v>
      </c>
    </row>
    <row r="2215" spans="1:2" x14ac:dyDescent="0.25">
      <c r="A2215" s="11">
        <v>2092</v>
      </c>
      <c r="B2215" s="12" t="s">
        <v>1969</v>
      </c>
    </row>
    <row r="2216" spans="1:2" x14ac:dyDescent="0.25">
      <c r="A2216" s="11">
        <v>2093</v>
      </c>
      <c r="B2216" s="12" t="s">
        <v>1970</v>
      </c>
    </row>
    <row r="2217" spans="1:2" x14ac:dyDescent="0.25">
      <c r="A2217" s="11">
        <v>2095</v>
      </c>
      <c r="B2217" s="12" t="s">
        <v>1971</v>
      </c>
    </row>
    <row r="2218" spans="1:2" x14ac:dyDescent="0.25">
      <c r="A2218" s="11">
        <v>2096</v>
      </c>
      <c r="B2218" s="12" t="s">
        <v>1972</v>
      </c>
    </row>
    <row r="2219" spans="1:2" x14ac:dyDescent="0.25">
      <c r="A2219" s="11">
        <v>2097</v>
      </c>
      <c r="B2219" s="12" t="s">
        <v>1973</v>
      </c>
    </row>
    <row r="2220" spans="1:2" x14ac:dyDescent="0.25">
      <c r="A2220" s="11">
        <v>2098</v>
      </c>
      <c r="B2220" s="12" t="s">
        <v>1974</v>
      </c>
    </row>
    <row r="2221" spans="1:2" x14ac:dyDescent="0.25">
      <c r="A2221" s="11">
        <v>2099</v>
      </c>
      <c r="B2221" s="12" t="s">
        <v>1975</v>
      </c>
    </row>
    <row r="2222" spans="1:2" x14ac:dyDescent="0.25">
      <c r="A2222" s="11">
        <v>2171</v>
      </c>
      <c r="B2222" s="12" t="s">
        <v>1976</v>
      </c>
    </row>
    <row r="2223" spans="1:2" x14ac:dyDescent="0.25">
      <c r="A2223" s="11">
        <v>2174</v>
      </c>
      <c r="B2223" s="12" t="s">
        <v>1977</v>
      </c>
    </row>
    <row r="2224" spans="1:2" x14ac:dyDescent="0.25">
      <c r="A2224" s="11">
        <v>2176</v>
      </c>
      <c r="B2224" s="12" t="s">
        <v>1978</v>
      </c>
    </row>
    <row r="2225" spans="1:2" x14ac:dyDescent="0.25">
      <c r="A2225" s="11">
        <v>2177</v>
      </c>
      <c r="B2225" s="12" t="s">
        <v>1979</v>
      </c>
    </row>
    <row r="2226" spans="1:2" x14ac:dyDescent="0.25">
      <c r="A2226" s="11">
        <v>2183</v>
      </c>
      <c r="B2226" s="12" t="s">
        <v>1980</v>
      </c>
    </row>
    <row r="2227" spans="1:2" x14ac:dyDescent="0.25">
      <c r="A2227" s="11">
        <v>2184</v>
      </c>
      <c r="B2227" s="12" t="s">
        <v>1981</v>
      </c>
    </row>
    <row r="2228" spans="1:2" x14ac:dyDescent="0.25">
      <c r="A2228" s="11">
        <v>2187</v>
      </c>
      <c r="B2228" s="12" t="s">
        <v>1982</v>
      </c>
    </row>
    <row r="2229" spans="1:2" x14ac:dyDescent="0.25">
      <c r="A2229" s="11">
        <v>2216</v>
      </c>
      <c r="B2229" s="12" t="s">
        <v>1983</v>
      </c>
    </row>
    <row r="2230" spans="1:2" x14ac:dyDescent="0.25">
      <c r="A2230" s="11">
        <v>2217</v>
      </c>
      <c r="B2230" s="12" t="s">
        <v>1984</v>
      </c>
    </row>
    <row r="2231" spans="1:2" x14ac:dyDescent="0.25">
      <c r="A2231" s="11">
        <v>2218</v>
      </c>
      <c r="B2231" s="12" t="s">
        <v>1985</v>
      </c>
    </row>
    <row r="2232" spans="1:2" x14ac:dyDescent="0.25">
      <c r="A2232" s="11">
        <v>2219</v>
      </c>
      <c r="B2232" s="12" t="s">
        <v>1986</v>
      </c>
    </row>
    <row r="2233" spans="1:2" x14ac:dyDescent="0.25">
      <c r="A2233" s="11">
        <v>2286</v>
      </c>
      <c r="B2233" s="12" t="s">
        <v>1987</v>
      </c>
    </row>
    <row r="2234" spans="1:2" x14ac:dyDescent="0.25">
      <c r="A2234" s="11">
        <v>2292</v>
      </c>
      <c r="B2234" s="12" t="s">
        <v>1988</v>
      </c>
    </row>
    <row r="2235" spans="1:2" x14ac:dyDescent="0.25">
      <c r="A2235" s="11">
        <v>2296</v>
      </c>
      <c r="B2235" s="12" t="s">
        <v>1989</v>
      </c>
    </row>
    <row r="2236" spans="1:2" x14ac:dyDescent="0.25">
      <c r="A2236" s="11">
        <v>2323</v>
      </c>
      <c r="B2236" s="12" t="s">
        <v>1990</v>
      </c>
    </row>
    <row r="2237" spans="1:2" x14ac:dyDescent="0.25">
      <c r="A2237" s="11">
        <v>2331</v>
      </c>
      <c r="B2237" s="12" t="s">
        <v>1991</v>
      </c>
    </row>
    <row r="2238" spans="1:2" x14ac:dyDescent="0.25">
      <c r="A2238" s="11">
        <v>2339</v>
      </c>
      <c r="B2238" s="12" t="s">
        <v>1992</v>
      </c>
    </row>
    <row r="2239" spans="1:2" x14ac:dyDescent="0.25">
      <c r="A2239" s="11">
        <v>2343</v>
      </c>
      <c r="B2239" s="12" t="s">
        <v>1993</v>
      </c>
    </row>
    <row r="2240" spans="1:2" x14ac:dyDescent="0.25">
      <c r="A2240" s="11">
        <v>2344</v>
      </c>
      <c r="B2240" s="12" t="s">
        <v>1994</v>
      </c>
    </row>
    <row r="2241" spans="1:2" x14ac:dyDescent="0.25">
      <c r="A2241" s="11">
        <v>2384</v>
      </c>
      <c r="B2241" s="12" t="s">
        <v>1995</v>
      </c>
    </row>
    <row r="2242" spans="1:2" x14ac:dyDescent="0.25">
      <c r="A2242" s="11">
        <v>2386</v>
      </c>
      <c r="B2242" s="12" t="s">
        <v>1996</v>
      </c>
    </row>
    <row r="2243" spans="1:2" x14ac:dyDescent="0.25">
      <c r="A2243" s="11">
        <v>2434</v>
      </c>
      <c r="B2243" s="12" t="s">
        <v>1997</v>
      </c>
    </row>
    <row r="2244" spans="1:2" x14ac:dyDescent="0.25">
      <c r="A2244" s="11">
        <v>2444</v>
      </c>
      <c r="B2244" s="12" t="s">
        <v>1998</v>
      </c>
    </row>
    <row r="2245" spans="1:2" x14ac:dyDescent="0.25">
      <c r="A2245" s="11">
        <v>2506</v>
      </c>
      <c r="B2245" s="12" t="s">
        <v>1999</v>
      </c>
    </row>
    <row r="2246" spans="1:2" x14ac:dyDescent="0.25">
      <c r="A2246" s="11">
        <v>2507</v>
      </c>
      <c r="B2246" s="12" t="s">
        <v>2000</v>
      </c>
    </row>
    <row r="2247" spans="1:2" x14ac:dyDescent="0.25">
      <c r="A2247" s="11">
        <v>2508</v>
      </c>
      <c r="B2247" s="12" t="s">
        <v>2001</v>
      </c>
    </row>
    <row r="2248" spans="1:2" x14ac:dyDescent="0.25">
      <c r="A2248" s="11">
        <v>2509</v>
      </c>
      <c r="B2248" s="12" t="s">
        <v>2002</v>
      </c>
    </row>
    <row r="2249" spans="1:2" x14ac:dyDescent="0.25">
      <c r="A2249" s="11">
        <v>2530</v>
      </c>
      <c r="B2249" s="12" t="s">
        <v>2003</v>
      </c>
    </row>
    <row r="2250" spans="1:2" x14ac:dyDescent="0.25">
      <c r="A2250" s="11">
        <v>2537</v>
      </c>
      <c r="B2250" s="12" t="s">
        <v>2004</v>
      </c>
    </row>
    <row r="2251" spans="1:2" x14ac:dyDescent="0.25">
      <c r="A2251" s="11">
        <v>2542</v>
      </c>
      <c r="B2251" s="12" t="s">
        <v>2005</v>
      </c>
    </row>
    <row r="2252" spans="1:2" x14ac:dyDescent="0.25">
      <c r="A2252" s="11">
        <v>2559</v>
      </c>
      <c r="B2252" s="12" t="s">
        <v>2006</v>
      </c>
    </row>
    <row r="2253" spans="1:2" x14ac:dyDescent="0.25">
      <c r="A2253" s="11">
        <v>2593</v>
      </c>
      <c r="B2253" s="12" t="s">
        <v>2007</v>
      </c>
    </row>
    <row r="2254" spans="1:2" x14ac:dyDescent="0.25">
      <c r="A2254" s="11">
        <v>2594</v>
      </c>
      <c r="B2254" s="12" t="s">
        <v>2008</v>
      </c>
    </row>
    <row r="2255" spans="1:2" x14ac:dyDescent="0.25">
      <c r="A2255" s="11">
        <v>2595</v>
      </c>
      <c r="B2255" s="12" t="s">
        <v>2009</v>
      </c>
    </row>
    <row r="2256" spans="1:2" x14ac:dyDescent="0.25">
      <c r="A2256" s="11">
        <v>2597</v>
      </c>
      <c r="B2256" s="12" t="s">
        <v>2010</v>
      </c>
    </row>
    <row r="2257" spans="1:2" x14ac:dyDescent="0.25">
      <c r="A2257" s="11">
        <v>2598</v>
      </c>
      <c r="B2257" s="12" t="s">
        <v>2011</v>
      </c>
    </row>
    <row r="2258" spans="1:2" x14ac:dyDescent="0.25">
      <c r="A2258" s="11">
        <v>2599</v>
      </c>
      <c r="B2258" s="12" t="s">
        <v>2012</v>
      </c>
    </row>
    <row r="2259" spans="1:2" x14ac:dyDescent="0.25">
      <c r="A2259" s="11">
        <v>2600</v>
      </c>
      <c r="B2259" s="12" t="s">
        <v>2013</v>
      </c>
    </row>
    <row r="2260" spans="1:2" x14ac:dyDescent="0.25">
      <c r="A2260" s="11">
        <v>2625</v>
      </c>
      <c r="B2260" s="12" t="s">
        <v>2014</v>
      </c>
    </row>
    <row r="2261" spans="1:2" x14ac:dyDescent="0.25">
      <c r="A2261" s="11">
        <v>2626</v>
      </c>
      <c r="B2261" s="12" t="s">
        <v>2015</v>
      </c>
    </row>
    <row r="2262" spans="1:2" x14ac:dyDescent="0.25">
      <c r="A2262" s="11">
        <v>2627</v>
      </c>
      <c r="B2262" s="12" t="s">
        <v>2016</v>
      </c>
    </row>
    <row r="2263" spans="1:2" x14ac:dyDescent="0.25">
      <c r="A2263" s="11">
        <v>2628</v>
      </c>
      <c r="B2263" s="12" t="s">
        <v>2017</v>
      </c>
    </row>
    <row r="2264" spans="1:2" x14ac:dyDescent="0.25">
      <c r="A2264" s="11">
        <v>2629</v>
      </c>
      <c r="B2264" s="12" t="s">
        <v>2018</v>
      </c>
    </row>
    <row r="2265" spans="1:2" x14ac:dyDescent="0.25">
      <c r="A2265" s="11">
        <v>2630</v>
      </c>
      <c r="B2265" s="12" t="s">
        <v>2019</v>
      </c>
    </row>
    <row r="2266" spans="1:2" x14ac:dyDescent="0.25">
      <c r="A2266" s="11">
        <v>2631</v>
      </c>
      <c r="B2266" s="12" t="s">
        <v>2020</v>
      </c>
    </row>
    <row r="2267" spans="1:2" x14ac:dyDescent="0.25">
      <c r="A2267" s="11">
        <v>2634</v>
      </c>
      <c r="B2267" s="12" t="s">
        <v>2021</v>
      </c>
    </row>
    <row r="2268" spans="1:2" x14ac:dyDescent="0.25">
      <c r="A2268" s="11">
        <v>2674</v>
      </c>
      <c r="B2268" s="12" t="s">
        <v>2022</v>
      </c>
    </row>
    <row r="2269" spans="1:2" x14ac:dyDescent="0.25">
      <c r="A2269" s="11">
        <v>2675</v>
      </c>
      <c r="B2269" s="12" t="s">
        <v>2023</v>
      </c>
    </row>
    <row r="2270" spans="1:2" x14ac:dyDescent="0.25">
      <c r="A2270" s="11">
        <v>2676</v>
      </c>
      <c r="B2270" s="12" t="s">
        <v>2024</v>
      </c>
    </row>
    <row r="2271" spans="1:2" x14ac:dyDescent="0.25">
      <c r="A2271" s="11">
        <v>2677</v>
      </c>
      <c r="B2271" s="12" t="s">
        <v>2025</v>
      </c>
    </row>
    <row r="2272" spans="1:2" x14ac:dyDescent="0.25">
      <c r="A2272" s="11">
        <v>2684</v>
      </c>
      <c r="B2272" s="12" t="s">
        <v>2026</v>
      </c>
    </row>
    <row r="2273" spans="1:2" x14ac:dyDescent="0.25">
      <c r="A2273" s="11">
        <v>2685</v>
      </c>
      <c r="B2273" s="12" t="s">
        <v>2027</v>
      </c>
    </row>
    <row r="2274" spans="1:2" x14ac:dyDescent="0.25">
      <c r="A2274" s="11">
        <v>2686</v>
      </c>
      <c r="B2274" s="12" t="s">
        <v>2028</v>
      </c>
    </row>
    <row r="2275" spans="1:2" x14ac:dyDescent="0.25">
      <c r="A2275" s="11">
        <v>2687</v>
      </c>
      <c r="B2275" s="12" t="s">
        <v>2029</v>
      </c>
    </row>
    <row r="2276" spans="1:2" x14ac:dyDescent="0.25">
      <c r="A2276" s="11">
        <v>2688</v>
      </c>
      <c r="B2276" s="12" t="s">
        <v>2030</v>
      </c>
    </row>
    <row r="2277" spans="1:2" x14ac:dyDescent="0.25">
      <c r="A2277" s="11">
        <v>2689</v>
      </c>
      <c r="B2277" s="12" t="s">
        <v>2031</v>
      </c>
    </row>
    <row r="2278" spans="1:2" x14ac:dyDescent="0.25">
      <c r="A2278" s="11">
        <v>2690</v>
      </c>
      <c r="B2278" s="12" t="s">
        <v>2032</v>
      </c>
    </row>
    <row r="2279" spans="1:2" x14ac:dyDescent="0.25">
      <c r="A2279" s="11">
        <v>2691</v>
      </c>
      <c r="B2279" s="12" t="s">
        <v>2033</v>
      </c>
    </row>
    <row r="2280" spans="1:2" x14ac:dyDescent="0.25">
      <c r="A2280" s="11">
        <v>2692</v>
      </c>
      <c r="B2280" s="12" t="s">
        <v>2034</v>
      </c>
    </row>
    <row r="2281" spans="1:2" x14ac:dyDescent="0.25">
      <c r="A2281" s="11">
        <v>2707</v>
      </c>
      <c r="B2281" s="12" t="s">
        <v>2035</v>
      </c>
    </row>
    <row r="2282" spans="1:2" x14ac:dyDescent="0.25">
      <c r="A2282" s="11">
        <v>2710</v>
      </c>
      <c r="B2282" s="12" t="s">
        <v>2036</v>
      </c>
    </row>
    <row r="2283" spans="1:2" x14ac:dyDescent="0.25">
      <c r="A2283" s="11">
        <v>2749</v>
      </c>
      <c r="B2283" s="12" t="s">
        <v>2037</v>
      </c>
    </row>
    <row r="2284" spans="1:2" x14ac:dyDescent="0.25">
      <c r="A2284" s="11">
        <v>2750</v>
      </c>
      <c r="B2284" s="12" t="s">
        <v>2038</v>
      </c>
    </row>
    <row r="2285" spans="1:2" x14ac:dyDescent="0.25">
      <c r="A2285" s="11">
        <v>2751</v>
      </c>
      <c r="B2285" s="12" t="s">
        <v>2039</v>
      </c>
    </row>
    <row r="2286" spans="1:2" x14ac:dyDescent="0.25">
      <c r="A2286" s="11">
        <v>2752</v>
      </c>
      <c r="B2286" s="12" t="s">
        <v>2040</v>
      </c>
    </row>
    <row r="2287" spans="1:2" x14ac:dyDescent="0.25">
      <c r="A2287" s="11">
        <v>2753</v>
      </c>
      <c r="B2287" s="12" t="s">
        <v>2041</v>
      </c>
    </row>
    <row r="2288" spans="1:2" x14ac:dyDescent="0.25">
      <c r="A2288" s="11">
        <v>2754</v>
      </c>
      <c r="B2288" s="12" t="s">
        <v>2042</v>
      </c>
    </row>
    <row r="2289" spans="1:2" x14ac:dyDescent="0.25">
      <c r="A2289" s="11">
        <v>2755</v>
      </c>
      <c r="B2289" s="12" t="s">
        <v>2043</v>
      </c>
    </row>
    <row r="2290" spans="1:2" x14ac:dyDescent="0.25">
      <c r="A2290" s="11">
        <v>2756</v>
      </c>
      <c r="B2290" s="12" t="s">
        <v>2044</v>
      </c>
    </row>
    <row r="2291" spans="1:2" x14ac:dyDescent="0.25">
      <c r="A2291" s="11">
        <v>2758</v>
      </c>
      <c r="B2291" s="12" t="s">
        <v>2045</v>
      </c>
    </row>
    <row r="2292" spans="1:2" x14ac:dyDescent="0.25">
      <c r="A2292" s="11">
        <v>2760</v>
      </c>
      <c r="B2292" s="12" t="s">
        <v>2046</v>
      </c>
    </row>
    <row r="2293" spans="1:2" x14ac:dyDescent="0.25">
      <c r="A2293" s="11">
        <v>2761</v>
      </c>
      <c r="B2293" s="12" t="s">
        <v>2047</v>
      </c>
    </row>
    <row r="2294" spans="1:2" x14ac:dyDescent="0.25">
      <c r="A2294" s="11">
        <v>2788</v>
      </c>
      <c r="B2294" s="12" t="s">
        <v>2048</v>
      </c>
    </row>
    <row r="2295" spans="1:2" x14ac:dyDescent="0.25">
      <c r="A2295" s="11">
        <v>2789</v>
      </c>
      <c r="B2295" s="12" t="s">
        <v>2049</v>
      </c>
    </row>
    <row r="2296" spans="1:2" x14ac:dyDescent="0.25">
      <c r="A2296" s="11">
        <v>2790</v>
      </c>
      <c r="B2296" s="12" t="s">
        <v>2050</v>
      </c>
    </row>
    <row r="2297" spans="1:2" x14ac:dyDescent="0.25">
      <c r="A2297" s="11">
        <v>2798</v>
      </c>
      <c r="B2297" s="12" t="s">
        <v>2051</v>
      </c>
    </row>
    <row r="2298" spans="1:2" x14ac:dyDescent="0.25">
      <c r="A2298" s="11">
        <v>2799</v>
      </c>
      <c r="B2298" s="12" t="s">
        <v>2052</v>
      </c>
    </row>
    <row r="2299" spans="1:2" x14ac:dyDescent="0.25">
      <c r="A2299" s="11">
        <v>2800</v>
      </c>
      <c r="B2299" s="12" t="s">
        <v>2053</v>
      </c>
    </row>
    <row r="2300" spans="1:2" x14ac:dyDescent="0.25">
      <c r="A2300" s="11">
        <v>2815</v>
      </c>
      <c r="B2300" s="12" t="s">
        <v>2054</v>
      </c>
    </row>
    <row r="2301" spans="1:2" x14ac:dyDescent="0.25">
      <c r="A2301" s="11">
        <v>2832</v>
      </c>
      <c r="B2301" s="12" t="s">
        <v>2055</v>
      </c>
    </row>
    <row r="2302" spans="1:2" x14ac:dyDescent="0.25">
      <c r="A2302" s="11">
        <v>2833</v>
      </c>
      <c r="B2302" s="12" t="s">
        <v>2056</v>
      </c>
    </row>
    <row r="2303" spans="1:2" x14ac:dyDescent="0.25">
      <c r="A2303" s="11">
        <v>2834</v>
      </c>
      <c r="B2303" s="12" t="s">
        <v>2057</v>
      </c>
    </row>
    <row r="2304" spans="1:2" x14ac:dyDescent="0.25">
      <c r="A2304" s="11">
        <v>2835</v>
      </c>
      <c r="B2304" s="12" t="s">
        <v>2058</v>
      </c>
    </row>
    <row r="2305" spans="1:2" x14ac:dyDescent="0.25">
      <c r="A2305" s="11">
        <v>2836</v>
      </c>
      <c r="B2305" s="12" t="s">
        <v>2059</v>
      </c>
    </row>
    <row r="2306" spans="1:2" x14ac:dyDescent="0.25">
      <c r="A2306" s="11">
        <v>2837</v>
      </c>
      <c r="B2306" s="12" t="s">
        <v>2060</v>
      </c>
    </row>
    <row r="2307" spans="1:2" x14ac:dyDescent="0.25">
      <c r="A2307" s="11">
        <v>2838</v>
      </c>
      <c r="B2307" s="12" t="s">
        <v>2061</v>
      </c>
    </row>
    <row r="2308" spans="1:2" x14ac:dyDescent="0.25">
      <c r="A2308" s="11">
        <v>2839</v>
      </c>
      <c r="B2308" s="12" t="s">
        <v>2062</v>
      </c>
    </row>
    <row r="2309" spans="1:2" x14ac:dyDescent="0.25">
      <c r="A2309" s="11">
        <v>2840</v>
      </c>
      <c r="B2309" s="12" t="s">
        <v>2063</v>
      </c>
    </row>
    <row r="2310" spans="1:2" x14ac:dyDescent="0.25">
      <c r="A2310" s="11">
        <v>2841</v>
      </c>
      <c r="B2310" s="12" t="s">
        <v>2064</v>
      </c>
    </row>
    <row r="2311" spans="1:2" x14ac:dyDescent="0.25">
      <c r="A2311" s="11">
        <v>2847</v>
      </c>
      <c r="B2311" s="12" t="s">
        <v>2065</v>
      </c>
    </row>
    <row r="2312" spans="1:2" x14ac:dyDescent="0.25">
      <c r="A2312" s="11">
        <v>2872</v>
      </c>
      <c r="B2312" s="12" t="s">
        <v>2066</v>
      </c>
    </row>
    <row r="2313" spans="1:2" x14ac:dyDescent="0.25">
      <c r="A2313" s="11">
        <v>2894</v>
      </c>
      <c r="B2313" s="12" t="s">
        <v>2067</v>
      </c>
    </row>
    <row r="2314" spans="1:2" x14ac:dyDescent="0.25">
      <c r="A2314" s="11">
        <v>2897</v>
      </c>
      <c r="B2314" s="12" t="s">
        <v>2068</v>
      </c>
    </row>
    <row r="2315" spans="1:2" x14ac:dyDescent="0.25">
      <c r="A2315" s="11">
        <v>2898</v>
      </c>
      <c r="B2315" s="12" t="s">
        <v>2069</v>
      </c>
    </row>
    <row r="2316" spans="1:2" x14ac:dyDescent="0.25">
      <c r="A2316" s="11">
        <v>2899</v>
      </c>
      <c r="B2316" s="12" t="s">
        <v>2070</v>
      </c>
    </row>
    <row r="2317" spans="1:2" x14ac:dyDescent="0.25">
      <c r="A2317" s="11">
        <v>2905</v>
      </c>
      <c r="B2317" s="12" t="s">
        <v>2071</v>
      </c>
    </row>
    <row r="2318" spans="1:2" x14ac:dyDescent="0.25">
      <c r="A2318" s="11">
        <v>2906</v>
      </c>
      <c r="B2318" s="12" t="s">
        <v>2072</v>
      </c>
    </row>
    <row r="2319" spans="1:2" x14ac:dyDescent="0.25">
      <c r="A2319" s="11">
        <v>2907</v>
      </c>
      <c r="B2319" s="12" t="s">
        <v>2073</v>
      </c>
    </row>
    <row r="2320" spans="1:2" x14ac:dyDescent="0.25">
      <c r="A2320" s="11">
        <v>2908</v>
      </c>
      <c r="B2320" s="12" t="s">
        <v>2074</v>
      </c>
    </row>
    <row r="2321" spans="1:2" x14ac:dyDescent="0.25">
      <c r="A2321" s="11">
        <v>2932</v>
      </c>
      <c r="B2321" s="12" t="s">
        <v>2075</v>
      </c>
    </row>
    <row r="2322" spans="1:2" x14ac:dyDescent="0.25">
      <c r="A2322" s="11">
        <v>2918</v>
      </c>
      <c r="B2322" s="12" t="s">
        <v>1783</v>
      </c>
    </row>
    <row r="2323" spans="1:2" x14ac:dyDescent="0.25">
      <c r="A2323" s="11">
        <v>2953</v>
      </c>
      <c r="B2323" s="12" t="s">
        <v>2076</v>
      </c>
    </row>
    <row r="2324" spans="1:2" x14ac:dyDescent="0.25">
      <c r="A2324" s="11">
        <v>2965</v>
      </c>
      <c r="B2324" s="12" t="s">
        <v>2077</v>
      </c>
    </row>
    <row r="2325" spans="1:2" x14ac:dyDescent="0.25">
      <c r="A2325" s="11">
        <v>2969</v>
      </c>
      <c r="B2325" s="12" t="s">
        <v>2078</v>
      </c>
    </row>
    <row r="2326" spans="1:2" x14ac:dyDescent="0.25">
      <c r="A2326" s="11">
        <v>2970</v>
      </c>
      <c r="B2326" s="12" t="s">
        <v>2079</v>
      </c>
    </row>
    <row r="2327" spans="1:2" x14ac:dyDescent="0.25">
      <c r="A2327" s="11">
        <v>2971</v>
      </c>
      <c r="B2327" s="12" t="s">
        <v>2080</v>
      </c>
    </row>
    <row r="2328" spans="1:2" x14ac:dyDescent="0.25">
      <c r="A2328" s="11">
        <v>2984</v>
      </c>
      <c r="B2328" s="12" t="s">
        <v>2081</v>
      </c>
    </row>
    <row r="2329" spans="1:2" x14ac:dyDescent="0.25">
      <c r="A2329" s="11">
        <v>2985</v>
      </c>
      <c r="B2329" s="12" t="s">
        <v>2082</v>
      </c>
    </row>
    <row r="2330" spans="1:2" x14ac:dyDescent="0.25">
      <c r="A2330" s="11">
        <v>2986</v>
      </c>
      <c r="B2330" s="12" t="s">
        <v>2083</v>
      </c>
    </row>
    <row r="2331" spans="1:2" x14ac:dyDescent="0.25">
      <c r="A2331" s="11">
        <v>2987</v>
      </c>
      <c r="B2331" s="12" t="s">
        <v>2084</v>
      </c>
    </row>
    <row r="2332" spans="1:2" x14ac:dyDescent="0.25">
      <c r="A2332" s="11">
        <v>3039</v>
      </c>
      <c r="B2332" s="12" t="s">
        <v>2085</v>
      </c>
    </row>
    <row r="2333" spans="1:2" x14ac:dyDescent="0.25">
      <c r="A2333" s="11">
        <v>3042</v>
      </c>
      <c r="B2333" s="12" t="s">
        <v>2086</v>
      </c>
    </row>
    <row r="2334" spans="1:2" x14ac:dyDescent="0.25">
      <c r="A2334" s="11">
        <v>3043</v>
      </c>
      <c r="B2334" s="12" t="s">
        <v>2087</v>
      </c>
    </row>
    <row r="2335" spans="1:2" x14ac:dyDescent="0.25">
      <c r="A2335" s="11">
        <v>3044</v>
      </c>
      <c r="B2335" s="12" t="s">
        <v>2088</v>
      </c>
    </row>
    <row r="2336" spans="1:2" x14ac:dyDescent="0.25">
      <c r="A2336" s="11">
        <v>3045</v>
      </c>
      <c r="B2336" s="12" t="s">
        <v>2089</v>
      </c>
    </row>
    <row r="2337" spans="1:3" x14ac:dyDescent="0.25">
      <c r="A2337" s="11">
        <v>3046</v>
      </c>
      <c r="B2337" s="12" t="s">
        <v>2090</v>
      </c>
    </row>
    <row r="2338" spans="1:3" x14ac:dyDescent="0.25">
      <c r="A2338" s="11">
        <v>3050</v>
      </c>
      <c r="B2338" s="12" t="s">
        <v>2091</v>
      </c>
    </row>
    <row r="2339" spans="1:3" x14ac:dyDescent="0.25">
      <c r="A2339" s="11">
        <v>3055</v>
      </c>
      <c r="B2339" s="12" t="s">
        <v>2092</v>
      </c>
    </row>
    <row r="2340" spans="1:3" x14ac:dyDescent="0.25">
      <c r="A2340" s="11">
        <v>3056</v>
      </c>
      <c r="B2340" s="12" t="s">
        <v>2093</v>
      </c>
    </row>
    <row r="2341" spans="1:3" x14ac:dyDescent="0.25">
      <c r="A2341" s="11">
        <v>3057</v>
      </c>
      <c r="B2341" s="12" t="s">
        <v>2094</v>
      </c>
    </row>
    <row r="2342" spans="1:3" x14ac:dyDescent="0.25">
      <c r="A2342" s="11">
        <v>3058</v>
      </c>
      <c r="B2342" s="12" t="s">
        <v>2095</v>
      </c>
    </row>
    <row r="2343" spans="1:3" x14ac:dyDescent="0.25">
      <c r="A2343" s="11">
        <v>3059</v>
      </c>
      <c r="B2343" s="12" t="s">
        <v>2096</v>
      </c>
    </row>
    <row r="2344" spans="1:3" x14ac:dyDescent="0.25">
      <c r="A2344" s="11">
        <v>3060</v>
      </c>
      <c r="B2344" s="12" t="s">
        <v>2097</v>
      </c>
    </row>
    <row r="2345" spans="1:3" x14ac:dyDescent="0.25">
      <c r="A2345" s="11">
        <v>3089</v>
      </c>
      <c r="B2345" s="12" t="str">
        <f>UPPER(C2345)</f>
        <v>MIXED NUTS W/ MACADAMIA, PERI PERI FLAVOURED</v>
      </c>
      <c r="C2345" s="18" t="s">
        <v>2100</v>
      </c>
    </row>
    <row r="2346" spans="1:3" x14ac:dyDescent="0.25">
      <c r="A2346" s="11">
        <v>3094</v>
      </c>
      <c r="B2346" s="12" t="str">
        <f>UPPER(C2346)</f>
        <v>CALLEBAUT CALLETS - DARK CHOCOLATE</v>
      </c>
      <c r="C2346" s="18" t="s">
        <v>2101</v>
      </c>
    </row>
    <row r="2347" spans="1:3" x14ac:dyDescent="0.25">
      <c r="A2347" s="11">
        <v>3095</v>
      </c>
      <c r="B2347" s="12" t="str">
        <f>UPPER(C2347)</f>
        <v>CALLEBAUT CALLETS - MILK CHOCOLATE</v>
      </c>
      <c r="C2347" s="18" t="s">
        <v>2102</v>
      </c>
    </row>
  </sheetData>
  <autoFilter ref="A2:D597"/>
  <sortState ref="A2:B1392">
    <sortCondition ref="A887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25"/>
  <sheetViews>
    <sheetView workbookViewId="0">
      <selection activeCell="B17" sqref="B17"/>
    </sheetView>
  </sheetViews>
  <sheetFormatPr defaultRowHeight="15" x14ac:dyDescent="0.25"/>
  <sheetData>
    <row r="1" spans="1:2" x14ac:dyDescent="0.25">
      <c r="A1">
        <v>0</v>
      </c>
      <c r="B1" t="s">
        <v>1069</v>
      </c>
    </row>
    <row r="2" spans="1:2" x14ac:dyDescent="0.25">
      <c r="A2">
        <v>0</v>
      </c>
      <c r="B2" t="s">
        <v>1069</v>
      </c>
    </row>
    <row r="3" spans="1:2" x14ac:dyDescent="0.25">
      <c r="B3" t="s">
        <v>1069</v>
      </c>
    </row>
    <row r="4" spans="1:2" x14ac:dyDescent="0.25">
      <c r="B4" t="s">
        <v>1069</v>
      </c>
    </row>
    <row r="5" spans="1:2" x14ac:dyDescent="0.25">
      <c r="B5" t="s">
        <v>1069</v>
      </c>
    </row>
    <row r="6" spans="1:2" x14ac:dyDescent="0.25">
      <c r="B6" t="s">
        <v>1069</v>
      </c>
    </row>
    <row r="7" spans="1:2" x14ac:dyDescent="0.25">
      <c r="B7" t="s">
        <v>1069</v>
      </c>
    </row>
    <row r="8" spans="1:2" x14ac:dyDescent="0.25">
      <c r="B8" t="s">
        <v>1069</v>
      </c>
    </row>
    <row r="9" spans="1:2" x14ac:dyDescent="0.25">
      <c r="B9" t="s">
        <v>1069</v>
      </c>
    </row>
    <row r="10" spans="1:2" x14ac:dyDescent="0.25">
      <c r="B10" t="s">
        <v>1069</v>
      </c>
    </row>
    <row r="11" spans="1:2" x14ac:dyDescent="0.25">
      <c r="B11" t="s">
        <v>1069</v>
      </c>
    </row>
    <row r="12" spans="1:2" x14ac:dyDescent="0.25">
      <c r="B12" t="s">
        <v>1069</v>
      </c>
    </row>
    <row r="13" spans="1:2" x14ac:dyDescent="0.25">
      <c r="B13" t="s">
        <v>1069</v>
      </c>
    </row>
    <row r="14" spans="1:2" x14ac:dyDescent="0.25">
      <c r="B14" t="s">
        <v>1069</v>
      </c>
    </row>
    <row r="15" spans="1:2" x14ac:dyDescent="0.25">
      <c r="B15" t="s">
        <v>1069</v>
      </c>
    </row>
    <row r="16" spans="1:2" x14ac:dyDescent="0.25">
      <c r="B16" t="s">
        <v>1069</v>
      </c>
    </row>
    <row r="17" spans="2:2" x14ac:dyDescent="0.25">
      <c r="B17" t="s">
        <v>1069</v>
      </c>
    </row>
    <row r="18" spans="2:2" x14ac:dyDescent="0.25">
      <c r="B18" t="s">
        <v>1069</v>
      </c>
    </row>
    <row r="19" spans="2:2" x14ac:dyDescent="0.25">
      <c r="B19" t="s">
        <v>1069</v>
      </c>
    </row>
    <row r="20" spans="2:2" x14ac:dyDescent="0.25">
      <c r="B20" t="s">
        <v>1069</v>
      </c>
    </row>
    <row r="21" spans="2:2" x14ac:dyDescent="0.25">
      <c r="B21" t="s">
        <v>1069</v>
      </c>
    </row>
    <row r="22" spans="2:2" x14ac:dyDescent="0.25">
      <c r="B22" t="s">
        <v>1069</v>
      </c>
    </row>
    <row r="23" spans="2:2" x14ac:dyDescent="0.25">
      <c r="B23" t="s">
        <v>1069</v>
      </c>
    </row>
    <row r="24" spans="2:2" x14ac:dyDescent="0.25">
      <c r="B24" t="s">
        <v>1069</v>
      </c>
    </row>
    <row r="25" spans="2:2" x14ac:dyDescent="0.25">
      <c r="B25" t="s">
        <v>1069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93"/>
  <sheetViews>
    <sheetView workbookViewId="0">
      <selection sqref="A1:D1048576"/>
    </sheetView>
  </sheetViews>
  <sheetFormatPr defaultRowHeight="15" x14ac:dyDescent="0.25"/>
  <cols>
    <col min="1" max="1" width="6" style="11" bestFit="1" customWidth="1"/>
    <col min="2" max="2" width="12" style="11" bestFit="1" customWidth="1"/>
    <col min="3" max="3" width="35.42578125" style="12" bestFit="1" customWidth="1"/>
    <col min="4" max="4" width="4.42578125" style="12" bestFit="1" customWidth="1"/>
  </cols>
  <sheetData>
    <row r="1" spans="1:6" x14ac:dyDescent="0.25">
      <c r="A1" s="9" t="s">
        <v>861</v>
      </c>
      <c r="B1" s="9" t="s">
        <v>920</v>
      </c>
      <c r="C1" s="12" t="s">
        <v>860</v>
      </c>
      <c r="D1" s="11" t="s">
        <v>1</v>
      </c>
      <c r="F1" s="6"/>
    </row>
    <row r="2" spans="1:6" x14ac:dyDescent="0.25">
      <c r="A2" s="10">
        <v>2</v>
      </c>
      <c r="B2" s="10" t="s">
        <v>3</v>
      </c>
      <c r="C2" s="13" t="s">
        <v>4</v>
      </c>
      <c r="D2" s="14">
        <v>0.25</v>
      </c>
      <c r="F2" s="6"/>
    </row>
    <row r="3" spans="1:6" x14ac:dyDescent="0.25">
      <c r="A3" s="10">
        <v>5</v>
      </c>
      <c r="B3" s="10" t="s">
        <v>5</v>
      </c>
      <c r="C3" s="13" t="s">
        <v>6</v>
      </c>
      <c r="D3" s="14">
        <v>0.25</v>
      </c>
      <c r="F3" s="6"/>
    </row>
    <row r="4" spans="1:6" x14ac:dyDescent="0.25">
      <c r="A4" s="10">
        <v>6</v>
      </c>
      <c r="B4" s="10" t="s">
        <v>7</v>
      </c>
      <c r="C4" s="13" t="s">
        <v>8</v>
      </c>
      <c r="D4" s="14">
        <v>0.25</v>
      </c>
      <c r="F4" s="6"/>
    </row>
    <row r="5" spans="1:6" x14ac:dyDescent="0.25">
      <c r="A5" s="10">
        <v>7</v>
      </c>
      <c r="B5" s="10" t="s">
        <v>9</v>
      </c>
      <c r="C5" s="13" t="s">
        <v>10</v>
      </c>
      <c r="D5" s="14">
        <v>0.75</v>
      </c>
      <c r="F5" s="6"/>
    </row>
    <row r="6" spans="1:6" x14ac:dyDescent="0.25">
      <c r="A6" s="10">
        <v>9</v>
      </c>
      <c r="B6" s="10" t="s">
        <v>11</v>
      </c>
      <c r="C6" s="13" t="s">
        <v>12</v>
      </c>
      <c r="D6" s="14">
        <v>0.5</v>
      </c>
      <c r="F6" s="6"/>
    </row>
    <row r="7" spans="1:6" x14ac:dyDescent="0.25">
      <c r="A7" s="10">
        <v>13</v>
      </c>
      <c r="B7" s="10" t="s">
        <v>14</v>
      </c>
      <c r="C7" s="13" t="s">
        <v>15</v>
      </c>
      <c r="D7" s="14">
        <v>0.5</v>
      </c>
      <c r="F7" s="6"/>
    </row>
    <row r="8" spans="1:6" x14ac:dyDescent="0.25">
      <c r="A8" s="10">
        <v>16</v>
      </c>
      <c r="B8" s="10" t="s">
        <v>17</v>
      </c>
      <c r="C8" s="13" t="s">
        <v>18</v>
      </c>
      <c r="D8" s="14">
        <v>0.25</v>
      </c>
      <c r="F8" s="6"/>
    </row>
    <row r="9" spans="1:6" x14ac:dyDescent="0.25">
      <c r="A9" s="10">
        <v>17</v>
      </c>
      <c r="B9" s="10" t="s">
        <v>19</v>
      </c>
      <c r="C9" s="13" t="s">
        <v>20</v>
      </c>
      <c r="D9" s="14">
        <v>0.5</v>
      </c>
      <c r="F9" s="6"/>
    </row>
    <row r="10" spans="1:6" x14ac:dyDescent="0.25">
      <c r="A10" s="10">
        <v>19</v>
      </c>
      <c r="B10" s="10" t="s">
        <v>21</v>
      </c>
      <c r="C10" s="13" t="s">
        <v>22</v>
      </c>
      <c r="D10" s="14">
        <v>1</v>
      </c>
      <c r="F10" s="6"/>
    </row>
    <row r="11" spans="1:6" x14ac:dyDescent="0.25">
      <c r="A11" s="10">
        <v>21</v>
      </c>
      <c r="B11" s="10" t="s">
        <v>23</v>
      </c>
      <c r="C11" s="13" t="s">
        <v>24</v>
      </c>
      <c r="D11" s="14">
        <v>0.25</v>
      </c>
      <c r="F11" s="6"/>
    </row>
    <row r="12" spans="1:6" x14ac:dyDescent="0.25">
      <c r="A12" s="10">
        <v>24</v>
      </c>
      <c r="B12" s="10" t="s">
        <v>921</v>
      </c>
      <c r="C12" s="13" t="s">
        <v>862</v>
      </c>
      <c r="D12" s="14">
        <v>0.75</v>
      </c>
      <c r="F12" s="6"/>
    </row>
    <row r="13" spans="1:6" x14ac:dyDescent="0.25">
      <c r="A13" s="10">
        <v>29</v>
      </c>
      <c r="B13" s="10" t="s">
        <v>27</v>
      </c>
      <c r="C13" s="13" t="s">
        <v>28</v>
      </c>
      <c r="D13" s="14">
        <v>0.25</v>
      </c>
      <c r="F13" s="6"/>
    </row>
    <row r="14" spans="1:6" x14ac:dyDescent="0.25">
      <c r="A14" s="10">
        <v>31</v>
      </c>
      <c r="B14" s="10" t="s">
        <v>29</v>
      </c>
      <c r="C14" s="13" t="s">
        <v>30</v>
      </c>
      <c r="D14" s="14">
        <v>0.25</v>
      </c>
      <c r="F14" s="6"/>
    </row>
    <row r="15" spans="1:6" x14ac:dyDescent="0.25">
      <c r="A15" s="10">
        <v>37</v>
      </c>
      <c r="B15" s="10" t="s">
        <v>32</v>
      </c>
      <c r="C15" s="13" t="s">
        <v>33</v>
      </c>
      <c r="D15" s="14">
        <v>0.25</v>
      </c>
      <c r="F15" s="6"/>
    </row>
    <row r="16" spans="1:6" x14ac:dyDescent="0.25">
      <c r="A16" s="10">
        <v>38</v>
      </c>
      <c r="B16" s="10" t="s">
        <v>922</v>
      </c>
      <c r="C16" s="13" t="s">
        <v>863</v>
      </c>
      <c r="D16" s="14">
        <v>1</v>
      </c>
      <c r="F16" s="6"/>
    </row>
    <row r="17" spans="1:6" x14ac:dyDescent="0.25">
      <c r="A17" s="10">
        <v>39</v>
      </c>
      <c r="B17" s="10" t="s">
        <v>34</v>
      </c>
      <c r="C17" s="13" t="s">
        <v>35</v>
      </c>
      <c r="D17" s="14">
        <v>0.5</v>
      </c>
      <c r="F17" s="6"/>
    </row>
    <row r="18" spans="1:6" x14ac:dyDescent="0.25">
      <c r="A18" s="10">
        <v>41</v>
      </c>
      <c r="B18" s="10" t="s">
        <v>36</v>
      </c>
      <c r="C18" s="13" t="s">
        <v>37</v>
      </c>
      <c r="D18" s="14">
        <v>1</v>
      </c>
      <c r="F18" s="6"/>
    </row>
    <row r="19" spans="1:6" x14ac:dyDescent="0.25">
      <c r="A19" s="10">
        <v>48</v>
      </c>
      <c r="B19" s="10" t="s">
        <v>40</v>
      </c>
      <c r="C19" s="13" t="s">
        <v>41</v>
      </c>
      <c r="D19" s="14">
        <v>0.75</v>
      </c>
      <c r="F19" s="6"/>
    </row>
    <row r="20" spans="1:6" x14ac:dyDescent="0.25">
      <c r="A20" s="10">
        <v>52</v>
      </c>
      <c r="B20" s="10" t="s">
        <v>923</v>
      </c>
      <c r="C20" s="13" t="s">
        <v>864</v>
      </c>
      <c r="D20" s="14">
        <v>1</v>
      </c>
      <c r="F20" s="6"/>
    </row>
    <row r="21" spans="1:6" x14ac:dyDescent="0.25">
      <c r="A21" s="10">
        <v>53</v>
      </c>
      <c r="B21" s="10" t="s">
        <v>45</v>
      </c>
      <c r="C21" s="13" t="s">
        <v>46</v>
      </c>
      <c r="D21" s="14">
        <v>0.5</v>
      </c>
      <c r="F21" s="6"/>
    </row>
    <row r="22" spans="1:6" x14ac:dyDescent="0.25">
      <c r="A22" s="10">
        <v>54</v>
      </c>
      <c r="B22" s="10" t="s">
        <v>47</v>
      </c>
      <c r="C22" s="13" t="s">
        <v>48</v>
      </c>
      <c r="D22" s="14">
        <v>0.5</v>
      </c>
      <c r="F22" s="6"/>
    </row>
    <row r="23" spans="1:6" x14ac:dyDescent="0.25">
      <c r="A23" s="10">
        <v>55</v>
      </c>
      <c r="B23" s="10" t="s">
        <v>49</v>
      </c>
      <c r="C23" s="13" t="s">
        <v>50</v>
      </c>
      <c r="D23" s="14">
        <v>0.5</v>
      </c>
      <c r="F23" s="6"/>
    </row>
    <row r="24" spans="1:6" x14ac:dyDescent="0.25">
      <c r="A24" s="10">
        <v>57</v>
      </c>
      <c r="B24" s="10" t="s">
        <v>924</v>
      </c>
      <c r="C24" s="13" t="s">
        <v>865</v>
      </c>
      <c r="D24" s="14">
        <v>1</v>
      </c>
      <c r="F24" s="6"/>
    </row>
    <row r="25" spans="1:6" x14ac:dyDescent="0.25">
      <c r="A25" s="10">
        <v>58</v>
      </c>
      <c r="B25" s="10" t="s">
        <v>51</v>
      </c>
      <c r="C25" s="13" t="s">
        <v>52</v>
      </c>
      <c r="D25" s="14">
        <v>0.25</v>
      </c>
      <c r="F25" s="6"/>
    </row>
    <row r="26" spans="1:6" x14ac:dyDescent="0.25">
      <c r="A26" s="10">
        <v>61</v>
      </c>
      <c r="B26" s="10" t="s">
        <v>53</v>
      </c>
      <c r="C26" s="13" t="s">
        <v>54</v>
      </c>
      <c r="D26" s="14">
        <v>0.75</v>
      </c>
      <c r="F26" s="6"/>
    </row>
    <row r="27" spans="1:6" x14ac:dyDescent="0.25">
      <c r="A27" s="10">
        <v>62</v>
      </c>
      <c r="B27" s="10" t="s">
        <v>925</v>
      </c>
      <c r="C27" s="13" t="s">
        <v>866</v>
      </c>
      <c r="D27" s="14">
        <v>0.5</v>
      </c>
      <c r="F27" s="6"/>
    </row>
    <row r="28" spans="1:6" x14ac:dyDescent="0.25">
      <c r="A28" s="10">
        <v>67</v>
      </c>
      <c r="B28" s="10" t="s">
        <v>55</v>
      </c>
      <c r="C28" s="13" t="s">
        <v>56</v>
      </c>
      <c r="D28" s="14">
        <v>0.25</v>
      </c>
      <c r="F28" s="6"/>
    </row>
    <row r="29" spans="1:6" x14ac:dyDescent="0.25">
      <c r="A29" s="10">
        <v>71</v>
      </c>
      <c r="B29" s="10" t="s">
        <v>58</v>
      </c>
      <c r="C29" s="13" t="s">
        <v>59</v>
      </c>
      <c r="D29" s="14">
        <v>1</v>
      </c>
      <c r="F29" s="6"/>
    </row>
    <row r="30" spans="1:6" x14ac:dyDescent="0.25">
      <c r="A30" s="10">
        <v>74</v>
      </c>
      <c r="B30" s="10" t="s">
        <v>60</v>
      </c>
      <c r="C30" s="13" t="s">
        <v>61</v>
      </c>
      <c r="D30" s="14">
        <v>1</v>
      </c>
      <c r="F30" s="6"/>
    </row>
    <row r="31" spans="1:6" x14ac:dyDescent="0.25">
      <c r="A31" s="10">
        <v>77</v>
      </c>
      <c r="B31" s="10" t="s">
        <v>926</v>
      </c>
      <c r="C31" s="13" t="s">
        <v>867</v>
      </c>
      <c r="D31" s="14">
        <v>0.25</v>
      </c>
      <c r="F31" s="6"/>
    </row>
    <row r="32" spans="1:6" x14ac:dyDescent="0.25">
      <c r="A32" s="10">
        <v>78</v>
      </c>
      <c r="B32" s="10" t="s">
        <v>62</v>
      </c>
      <c r="C32" s="13" t="s">
        <v>63</v>
      </c>
      <c r="D32" s="14">
        <v>0.5</v>
      </c>
      <c r="F32" s="6"/>
    </row>
    <row r="33" spans="1:6" x14ac:dyDescent="0.25">
      <c r="A33" s="10">
        <v>86</v>
      </c>
      <c r="B33" s="10" t="s">
        <v>64</v>
      </c>
      <c r="C33" s="13" t="s">
        <v>65</v>
      </c>
      <c r="D33" s="14">
        <v>1</v>
      </c>
      <c r="F33" s="6"/>
    </row>
    <row r="34" spans="1:6" x14ac:dyDescent="0.25">
      <c r="A34" s="10">
        <v>96</v>
      </c>
      <c r="B34" s="10" t="s">
        <v>66</v>
      </c>
      <c r="C34" s="13" t="s">
        <v>67</v>
      </c>
      <c r="D34" s="14">
        <v>0.25</v>
      </c>
      <c r="F34" s="6"/>
    </row>
    <row r="35" spans="1:6" x14ac:dyDescent="0.25">
      <c r="A35" s="10">
        <v>100</v>
      </c>
      <c r="B35" s="10" t="s">
        <v>68</v>
      </c>
      <c r="C35" s="13" t="s">
        <v>69</v>
      </c>
      <c r="D35" s="14">
        <v>2.25</v>
      </c>
      <c r="F35" s="6"/>
    </row>
    <row r="36" spans="1:6" x14ac:dyDescent="0.25">
      <c r="A36" s="10">
        <v>101</v>
      </c>
      <c r="B36" s="10" t="s">
        <v>70</v>
      </c>
      <c r="C36" s="13" t="s">
        <v>71</v>
      </c>
      <c r="D36" s="14">
        <v>2</v>
      </c>
      <c r="F36" s="6"/>
    </row>
    <row r="37" spans="1:6" x14ac:dyDescent="0.25">
      <c r="A37" s="10">
        <v>102</v>
      </c>
      <c r="B37" s="10" t="s">
        <v>72</v>
      </c>
      <c r="C37" s="13" t="s">
        <v>73</v>
      </c>
      <c r="D37" s="14">
        <v>0.25</v>
      </c>
      <c r="F37" s="6"/>
    </row>
    <row r="38" spans="1:6" x14ac:dyDescent="0.25">
      <c r="A38" s="10">
        <v>105</v>
      </c>
      <c r="B38" s="10" t="s">
        <v>74</v>
      </c>
      <c r="C38" s="13" t="s">
        <v>75</v>
      </c>
      <c r="D38" s="14">
        <v>0.25</v>
      </c>
      <c r="F38" s="6"/>
    </row>
    <row r="39" spans="1:6" x14ac:dyDescent="0.25">
      <c r="A39" s="10">
        <v>107</v>
      </c>
      <c r="B39" s="10" t="s">
        <v>77</v>
      </c>
      <c r="C39" s="13" t="s">
        <v>78</v>
      </c>
      <c r="D39" s="14">
        <v>1</v>
      </c>
      <c r="F39" s="6"/>
    </row>
    <row r="40" spans="1:6" x14ac:dyDescent="0.25">
      <c r="A40" s="10">
        <v>108</v>
      </c>
      <c r="B40" s="10" t="s">
        <v>927</v>
      </c>
      <c r="C40" s="13" t="s">
        <v>868</v>
      </c>
      <c r="D40" s="14">
        <v>1</v>
      </c>
      <c r="F40" s="6"/>
    </row>
    <row r="41" spans="1:6" x14ac:dyDescent="0.25">
      <c r="A41" s="10">
        <v>110</v>
      </c>
      <c r="B41" s="10" t="s">
        <v>928</v>
      </c>
      <c r="C41" s="13" t="s">
        <v>869</v>
      </c>
      <c r="D41" s="14">
        <v>0.75</v>
      </c>
      <c r="F41" s="6"/>
    </row>
    <row r="42" spans="1:6" x14ac:dyDescent="0.25">
      <c r="A42" s="10">
        <v>113</v>
      </c>
      <c r="B42" s="10" t="s">
        <v>80</v>
      </c>
      <c r="C42" s="13" t="s">
        <v>81</v>
      </c>
      <c r="D42" s="14">
        <v>0.25</v>
      </c>
      <c r="F42" s="6"/>
    </row>
    <row r="43" spans="1:6" x14ac:dyDescent="0.25">
      <c r="A43" s="10">
        <v>114</v>
      </c>
      <c r="B43" s="10" t="s">
        <v>82</v>
      </c>
      <c r="C43" s="13" t="s">
        <v>83</v>
      </c>
      <c r="D43" s="14">
        <v>0.5</v>
      </c>
      <c r="F43" s="6"/>
    </row>
    <row r="44" spans="1:6" x14ac:dyDescent="0.25">
      <c r="A44" s="10">
        <v>115</v>
      </c>
      <c r="B44" s="10" t="s">
        <v>84</v>
      </c>
      <c r="C44" s="13" t="s">
        <v>85</v>
      </c>
      <c r="D44" s="14">
        <v>0.25</v>
      </c>
      <c r="F44" s="6"/>
    </row>
    <row r="45" spans="1:6" x14ac:dyDescent="0.25">
      <c r="A45" s="10">
        <v>117</v>
      </c>
      <c r="B45" s="10" t="s">
        <v>929</v>
      </c>
      <c r="C45" s="13" t="s">
        <v>870</v>
      </c>
      <c r="D45" s="14">
        <v>0.5</v>
      </c>
      <c r="F45" s="6"/>
    </row>
    <row r="46" spans="1:6" x14ac:dyDescent="0.25">
      <c r="A46" s="10">
        <v>118</v>
      </c>
      <c r="B46" s="10" t="s">
        <v>86</v>
      </c>
      <c r="C46" s="13" t="s">
        <v>87</v>
      </c>
      <c r="D46" s="14">
        <v>1</v>
      </c>
      <c r="F46" s="6"/>
    </row>
    <row r="47" spans="1:6" x14ac:dyDescent="0.25">
      <c r="A47" s="10">
        <v>119</v>
      </c>
      <c r="B47" s="10" t="s">
        <v>88</v>
      </c>
      <c r="C47" s="13" t="s">
        <v>89</v>
      </c>
      <c r="D47" s="14">
        <v>1.25</v>
      </c>
      <c r="F47" s="6"/>
    </row>
    <row r="48" spans="1:6" x14ac:dyDescent="0.25">
      <c r="A48" s="10">
        <v>120</v>
      </c>
      <c r="B48" s="10" t="s">
        <v>90</v>
      </c>
      <c r="C48" s="13" t="s">
        <v>91</v>
      </c>
      <c r="D48" s="14">
        <v>1.25</v>
      </c>
      <c r="F48" s="6"/>
    </row>
    <row r="49" spans="1:6" x14ac:dyDescent="0.25">
      <c r="A49" s="10">
        <v>123</v>
      </c>
      <c r="B49" s="10" t="s">
        <v>92</v>
      </c>
      <c r="C49" s="13" t="s">
        <v>93</v>
      </c>
      <c r="D49" s="14">
        <v>1.5</v>
      </c>
      <c r="F49" s="6"/>
    </row>
    <row r="50" spans="1:6" x14ac:dyDescent="0.25">
      <c r="A50" s="10">
        <v>124</v>
      </c>
      <c r="B50" s="10" t="s">
        <v>94</v>
      </c>
      <c r="C50" s="13" t="s">
        <v>95</v>
      </c>
      <c r="D50" s="14">
        <v>0.25</v>
      </c>
      <c r="F50" s="6"/>
    </row>
    <row r="51" spans="1:6" x14ac:dyDescent="0.25">
      <c r="A51" s="10">
        <v>125</v>
      </c>
      <c r="B51" s="10" t="s">
        <v>96</v>
      </c>
      <c r="C51" s="13" t="s">
        <v>97</v>
      </c>
      <c r="D51" s="14">
        <v>0.5</v>
      </c>
      <c r="F51" s="6"/>
    </row>
    <row r="52" spans="1:6" x14ac:dyDescent="0.25">
      <c r="A52" s="10">
        <v>127</v>
      </c>
      <c r="B52" s="10" t="s">
        <v>98</v>
      </c>
      <c r="C52" s="13" t="s">
        <v>99</v>
      </c>
      <c r="D52" s="14">
        <v>0.25</v>
      </c>
      <c r="F52" s="6"/>
    </row>
    <row r="53" spans="1:6" x14ac:dyDescent="0.25">
      <c r="A53" s="10">
        <v>128</v>
      </c>
      <c r="B53" s="10" t="s">
        <v>100</v>
      </c>
      <c r="C53" s="13" t="s">
        <v>101</v>
      </c>
      <c r="D53" s="14">
        <v>1</v>
      </c>
      <c r="F53" s="6"/>
    </row>
    <row r="54" spans="1:6" x14ac:dyDescent="0.25">
      <c r="A54" s="10">
        <v>129</v>
      </c>
      <c r="B54" s="10" t="s">
        <v>102</v>
      </c>
      <c r="C54" s="13" t="s">
        <v>103</v>
      </c>
      <c r="D54" s="14">
        <v>1</v>
      </c>
      <c r="F54" s="6"/>
    </row>
    <row r="55" spans="1:6" x14ac:dyDescent="0.25">
      <c r="A55" s="10">
        <v>138</v>
      </c>
      <c r="B55" s="10" t="s">
        <v>930</v>
      </c>
      <c r="C55" s="13" t="s">
        <v>871</v>
      </c>
      <c r="D55" s="14">
        <v>1</v>
      </c>
      <c r="F55" s="6"/>
    </row>
    <row r="56" spans="1:6" x14ac:dyDescent="0.25">
      <c r="A56" s="10">
        <v>139</v>
      </c>
      <c r="B56" s="10" t="s">
        <v>107</v>
      </c>
      <c r="C56" s="13" t="s">
        <v>108</v>
      </c>
      <c r="D56" s="14">
        <v>1.75</v>
      </c>
      <c r="F56" s="6"/>
    </row>
    <row r="57" spans="1:6" x14ac:dyDescent="0.25">
      <c r="A57" s="10">
        <v>140</v>
      </c>
      <c r="B57" s="10" t="s">
        <v>109</v>
      </c>
      <c r="C57" s="13" t="s">
        <v>110</v>
      </c>
      <c r="D57" s="14">
        <v>1</v>
      </c>
      <c r="F57" s="6"/>
    </row>
    <row r="58" spans="1:6" x14ac:dyDescent="0.25">
      <c r="A58" s="10">
        <v>163</v>
      </c>
      <c r="B58" s="10" t="s">
        <v>111</v>
      </c>
      <c r="C58" s="13" t="s">
        <v>112</v>
      </c>
      <c r="D58" s="14">
        <v>0.25</v>
      </c>
      <c r="F58" s="6"/>
    </row>
    <row r="59" spans="1:6" x14ac:dyDescent="0.25">
      <c r="A59" s="10">
        <v>182</v>
      </c>
      <c r="B59" s="10" t="s">
        <v>113</v>
      </c>
      <c r="C59" s="13" t="s">
        <v>114</v>
      </c>
      <c r="D59" s="14">
        <v>0.25</v>
      </c>
      <c r="F59" s="6"/>
    </row>
    <row r="60" spans="1:6" x14ac:dyDescent="0.25">
      <c r="A60" s="10">
        <v>183</v>
      </c>
      <c r="B60" s="10" t="s">
        <v>115</v>
      </c>
      <c r="C60" s="13" t="s">
        <v>116</v>
      </c>
      <c r="D60" s="14">
        <v>1.25</v>
      </c>
      <c r="F60" s="6"/>
    </row>
    <row r="61" spans="1:6" x14ac:dyDescent="0.25">
      <c r="A61" s="10">
        <v>209</v>
      </c>
      <c r="B61" s="10" t="s">
        <v>117</v>
      </c>
      <c r="C61" s="13" t="s">
        <v>118</v>
      </c>
      <c r="D61" s="14">
        <v>0.5</v>
      </c>
      <c r="F61" s="6"/>
    </row>
    <row r="62" spans="1:6" x14ac:dyDescent="0.25">
      <c r="A62" s="10">
        <v>216</v>
      </c>
      <c r="B62" s="10" t="s">
        <v>119</v>
      </c>
      <c r="C62" s="13" t="s">
        <v>120</v>
      </c>
      <c r="D62" s="14">
        <v>1</v>
      </c>
      <c r="F62" s="6"/>
    </row>
    <row r="63" spans="1:6" x14ac:dyDescent="0.25">
      <c r="A63" s="10">
        <v>227</v>
      </c>
      <c r="B63" s="10" t="s">
        <v>121</v>
      </c>
      <c r="C63" s="13" t="s">
        <v>122</v>
      </c>
      <c r="D63" s="14">
        <v>0.5</v>
      </c>
      <c r="F63" s="6"/>
    </row>
    <row r="64" spans="1:6" x14ac:dyDescent="0.25">
      <c r="A64" s="10">
        <v>240</v>
      </c>
      <c r="B64" s="10" t="s">
        <v>931</v>
      </c>
      <c r="C64" s="13" t="s">
        <v>872</v>
      </c>
      <c r="D64" s="14">
        <v>1</v>
      </c>
      <c r="F64" s="6"/>
    </row>
    <row r="65" spans="1:6" x14ac:dyDescent="0.25">
      <c r="A65" s="10">
        <v>241</v>
      </c>
      <c r="B65" s="10" t="s">
        <v>123</v>
      </c>
      <c r="C65" s="13" t="s">
        <v>124</v>
      </c>
      <c r="D65" s="14">
        <v>0.5</v>
      </c>
      <c r="F65" s="6"/>
    </row>
    <row r="66" spans="1:6" x14ac:dyDescent="0.25">
      <c r="A66" s="10">
        <v>247</v>
      </c>
      <c r="B66" s="10" t="s">
        <v>125</v>
      </c>
      <c r="C66" s="13" t="s">
        <v>126</v>
      </c>
      <c r="D66" s="14">
        <v>0.5</v>
      </c>
      <c r="F66" s="6"/>
    </row>
    <row r="67" spans="1:6" x14ac:dyDescent="0.25">
      <c r="A67" s="10">
        <v>248</v>
      </c>
      <c r="B67" s="10" t="s">
        <v>127</v>
      </c>
      <c r="C67" s="13" t="s">
        <v>128</v>
      </c>
      <c r="D67" s="14">
        <v>0.25</v>
      </c>
      <c r="F67" s="6"/>
    </row>
    <row r="68" spans="1:6" x14ac:dyDescent="0.25">
      <c r="A68" s="10">
        <v>252</v>
      </c>
      <c r="B68" s="10" t="s">
        <v>129</v>
      </c>
      <c r="C68" s="13" t="s">
        <v>130</v>
      </c>
      <c r="D68" s="14">
        <v>0.25</v>
      </c>
      <c r="F68" s="6"/>
    </row>
    <row r="69" spans="1:6" x14ac:dyDescent="0.25">
      <c r="A69" s="10">
        <v>253</v>
      </c>
      <c r="B69" s="10" t="s">
        <v>131</v>
      </c>
      <c r="C69" s="13" t="s">
        <v>132</v>
      </c>
      <c r="D69" s="14">
        <v>0.5</v>
      </c>
      <c r="F69" s="6"/>
    </row>
    <row r="70" spans="1:6" x14ac:dyDescent="0.25">
      <c r="A70" s="10">
        <v>254</v>
      </c>
      <c r="B70" s="10" t="s">
        <v>133</v>
      </c>
      <c r="C70" s="13" t="s">
        <v>134</v>
      </c>
      <c r="D70" s="14">
        <v>1</v>
      </c>
      <c r="F70" s="6"/>
    </row>
    <row r="71" spans="1:6" x14ac:dyDescent="0.25">
      <c r="A71" s="10">
        <v>255</v>
      </c>
      <c r="B71" s="10" t="s">
        <v>135</v>
      </c>
      <c r="C71" s="13" t="s">
        <v>136</v>
      </c>
      <c r="D71" s="14">
        <v>2</v>
      </c>
      <c r="F71" s="6"/>
    </row>
    <row r="72" spans="1:6" x14ac:dyDescent="0.25">
      <c r="A72" s="10">
        <v>260</v>
      </c>
      <c r="B72" s="10" t="s">
        <v>932</v>
      </c>
      <c r="C72" s="13" t="s">
        <v>873</v>
      </c>
      <c r="D72" s="14">
        <v>0.5</v>
      </c>
      <c r="F72" s="6"/>
    </row>
    <row r="73" spans="1:6" x14ac:dyDescent="0.25">
      <c r="A73" s="10">
        <v>261</v>
      </c>
      <c r="B73" s="10" t="s">
        <v>138</v>
      </c>
      <c r="C73" s="13" t="s">
        <v>139</v>
      </c>
      <c r="D73" s="14">
        <v>0.75</v>
      </c>
      <c r="F73" s="6"/>
    </row>
    <row r="74" spans="1:6" x14ac:dyDescent="0.25">
      <c r="A74" s="10">
        <v>270</v>
      </c>
      <c r="B74" s="10" t="s">
        <v>143</v>
      </c>
      <c r="C74" s="13" t="s">
        <v>144</v>
      </c>
      <c r="D74" s="14">
        <v>1</v>
      </c>
      <c r="F74" s="6"/>
    </row>
    <row r="75" spans="1:6" x14ac:dyDescent="0.25">
      <c r="A75" s="10">
        <v>275</v>
      </c>
      <c r="B75" s="10" t="s">
        <v>145</v>
      </c>
      <c r="C75" s="13" t="s">
        <v>146</v>
      </c>
      <c r="D75" s="14">
        <v>0.5</v>
      </c>
      <c r="F75" s="6"/>
    </row>
    <row r="76" spans="1:6" x14ac:dyDescent="0.25">
      <c r="A76" s="10">
        <v>277</v>
      </c>
      <c r="B76" s="10" t="s">
        <v>147</v>
      </c>
      <c r="C76" s="13" t="s">
        <v>148</v>
      </c>
      <c r="D76" s="14">
        <v>1</v>
      </c>
      <c r="F76" s="6"/>
    </row>
    <row r="77" spans="1:6" x14ac:dyDescent="0.25">
      <c r="A77" s="10">
        <v>280</v>
      </c>
      <c r="B77" s="10" t="s">
        <v>933</v>
      </c>
      <c r="C77" s="13" t="s">
        <v>874</v>
      </c>
      <c r="D77" s="14">
        <v>0.25</v>
      </c>
      <c r="F77" s="6"/>
    </row>
    <row r="78" spans="1:6" x14ac:dyDescent="0.25">
      <c r="A78" s="10">
        <v>283</v>
      </c>
      <c r="B78" s="10" t="s">
        <v>934</v>
      </c>
      <c r="C78" s="13" t="s">
        <v>875</v>
      </c>
      <c r="D78" s="14">
        <v>0.5</v>
      </c>
      <c r="F78" s="6"/>
    </row>
    <row r="79" spans="1:6" x14ac:dyDescent="0.25">
      <c r="A79" s="10">
        <v>287</v>
      </c>
      <c r="B79" s="10" t="s">
        <v>150</v>
      </c>
      <c r="C79" s="13" t="s">
        <v>151</v>
      </c>
      <c r="D79" s="14">
        <v>0.25</v>
      </c>
      <c r="F79" s="6"/>
    </row>
    <row r="80" spans="1:6" x14ac:dyDescent="0.25">
      <c r="A80" s="10">
        <v>292</v>
      </c>
      <c r="B80" s="10" t="s">
        <v>153</v>
      </c>
      <c r="C80" s="13" t="s">
        <v>154</v>
      </c>
      <c r="D80" s="14">
        <v>0.5</v>
      </c>
      <c r="F80" s="6"/>
    </row>
    <row r="81" spans="1:6" x14ac:dyDescent="0.25">
      <c r="A81" s="10">
        <v>298</v>
      </c>
      <c r="B81" s="10" t="s">
        <v>935</v>
      </c>
      <c r="C81" s="13" t="s">
        <v>876</v>
      </c>
      <c r="D81" s="14">
        <v>1</v>
      </c>
      <c r="F81" s="6"/>
    </row>
    <row r="82" spans="1:6" x14ac:dyDescent="0.25">
      <c r="A82" s="10">
        <v>301</v>
      </c>
      <c r="B82" s="10" t="s">
        <v>936</v>
      </c>
      <c r="C82" s="13" t="s">
        <v>877</v>
      </c>
      <c r="D82" s="14">
        <v>0.25</v>
      </c>
      <c r="F82" s="6"/>
    </row>
    <row r="83" spans="1:6" x14ac:dyDescent="0.25">
      <c r="A83" s="10">
        <v>303</v>
      </c>
      <c r="B83" s="10" t="s">
        <v>156</v>
      </c>
      <c r="C83" s="13" t="s">
        <v>157</v>
      </c>
      <c r="D83" s="14">
        <v>0.25</v>
      </c>
      <c r="F83" s="6"/>
    </row>
    <row r="84" spans="1:6" x14ac:dyDescent="0.25">
      <c r="A84" s="10">
        <v>304</v>
      </c>
      <c r="B84" s="10" t="s">
        <v>158</v>
      </c>
      <c r="C84" s="13" t="s">
        <v>159</v>
      </c>
      <c r="D84" s="14">
        <v>0.75</v>
      </c>
      <c r="F84" s="6"/>
    </row>
    <row r="85" spans="1:6" x14ac:dyDescent="0.25">
      <c r="A85" s="10">
        <v>307</v>
      </c>
      <c r="B85" s="10" t="s">
        <v>161</v>
      </c>
      <c r="C85" s="13" t="s">
        <v>162</v>
      </c>
      <c r="D85" s="14">
        <v>0.25</v>
      </c>
      <c r="F85" s="6"/>
    </row>
    <row r="86" spans="1:6" x14ac:dyDescent="0.25">
      <c r="A86" s="10">
        <v>309</v>
      </c>
      <c r="B86" s="10" t="s">
        <v>164</v>
      </c>
      <c r="C86" s="13" t="s">
        <v>165</v>
      </c>
      <c r="D86" s="14">
        <v>0.5</v>
      </c>
      <c r="F86" s="6"/>
    </row>
    <row r="87" spans="1:6" x14ac:dyDescent="0.25">
      <c r="A87" s="10">
        <v>310</v>
      </c>
      <c r="B87" s="10" t="s">
        <v>166</v>
      </c>
      <c r="C87" s="13" t="s">
        <v>167</v>
      </c>
      <c r="D87" s="14">
        <v>0.5</v>
      </c>
      <c r="F87" s="6"/>
    </row>
    <row r="88" spans="1:6" x14ac:dyDescent="0.25">
      <c r="A88" s="10">
        <v>311</v>
      </c>
      <c r="B88" s="10" t="s">
        <v>168</v>
      </c>
      <c r="C88" s="13" t="s">
        <v>169</v>
      </c>
      <c r="D88" s="14">
        <v>0.5</v>
      </c>
      <c r="F88" s="6"/>
    </row>
    <row r="89" spans="1:6" x14ac:dyDescent="0.25">
      <c r="A89" s="10">
        <v>312</v>
      </c>
      <c r="B89" s="10" t="s">
        <v>170</v>
      </c>
      <c r="C89" s="13" t="s">
        <v>171</v>
      </c>
      <c r="D89" s="14">
        <v>0.75</v>
      </c>
      <c r="F89" s="6"/>
    </row>
    <row r="90" spans="1:6" x14ac:dyDescent="0.25">
      <c r="A90" s="10">
        <v>313</v>
      </c>
      <c r="B90" s="10" t="s">
        <v>172</v>
      </c>
      <c r="C90" s="13" t="s">
        <v>173</v>
      </c>
      <c r="D90" s="14">
        <v>0.25</v>
      </c>
      <c r="F90" s="6"/>
    </row>
    <row r="91" spans="1:6" x14ac:dyDescent="0.25">
      <c r="A91" s="10">
        <v>319</v>
      </c>
      <c r="B91" s="10" t="s">
        <v>174</v>
      </c>
      <c r="C91" s="13" t="s">
        <v>175</v>
      </c>
      <c r="D91" s="14">
        <v>0.75</v>
      </c>
      <c r="F91" s="6"/>
    </row>
    <row r="92" spans="1:6" x14ac:dyDescent="0.25">
      <c r="A92" s="10">
        <v>321</v>
      </c>
      <c r="B92" s="10" t="s">
        <v>937</v>
      </c>
      <c r="C92" s="13" t="s">
        <v>878</v>
      </c>
      <c r="D92" s="14">
        <v>1</v>
      </c>
      <c r="F92" s="6"/>
    </row>
    <row r="93" spans="1:6" x14ac:dyDescent="0.25">
      <c r="A93" s="10">
        <v>323</v>
      </c>
      <c r="B93" s="10" t="s">
        <v>176</v>
      </c>
      <c r="C93" s="13" t="s">
        <v>177</v>
      </c>
      <c r="D93" s="14">
        <v>0.75</v>
      </c>
      <c r="F93" s="6"/>
    </row>
    <row r="94" spans="1:6" x14ac:dyDescent="0.25">
      <c r="A94" s="10">
        <v>325</v>
      </c>
      <c r="B94" s="10" t="s">
        <v>178</v>
      </c>
      <c r="C94" s="13" t="s">
        <v>179</v>
      </c>
      <c r="D94" s="14">
        <v>0.5</v>
      </c>
      <c r="F94" s="6"/>
    </row>
    <row r="95" spans="1:6" x14ac:dyDescent="0.25">
      <c r="A95" s="10">
        <v>330</v>
      </c>
      <c r="B95" s="10" t="s">
        <v>181</v>
      </c>
      <c r="C95" s="13" t="s">
        <v>182</v>
      </c>
      <c r="D95" s="14">
        <v>0.25</v>
      </c>
      <c r="F95" s="6"/>
    </row>
    <row r="96" spans="1:6" x14ac:dyDescent="0.25">
      <c r="A96" s="10">
        <v>331</v>
      </c>
      <c r="B96" s="10" t="s">
        <v>183</v>
      </c>
      <c r="C96" s="13" t="s">
        <v>184</v>
      </c>
      <c r="D96" s="14">
        <v>1.25</v>
      </c>
      <c r="F96" s="6"/>
    </row>
    <row r="97" spans="1:6" x14ac:dyDescent="0.25">
      <c r="A97" s="10">
        <v>334</v>
      </c>
      <c r="B97" s="10" t="s">
        <v>185</v>
      </c>
      <c r="C97" s="13" t="s">
        <v>186</v>
      </c>
      <c r="D97" s="14">
        <v>0.5</v>
      </c>
      <c r="F97" s="6"/>
    </row>
    <row r="98" spans="1:6" x14ac:dyDescent="0.25">
      <c r="A98" s="10">
        <v>337</v>
      </c>
      <c r="B98" s="10" t="s">
        <v>187</v>
      </c>
      <c r="C98" s="13" t="s">
        <v>188</v>
      </c>
      <c r="D98" s="14">
        <v>0.25</v>
      </c>
      <c r="F98" s="6"/>
    </row>
    <row r="99" spans="1:6" x14ac:dyDescent="0.25">
      <c r="A99" s="10">
        <v>339</v>
      </c>
      <c r="B99" s="10" t="s">
        <v>189</v>
      </c>
      <c r="C99" s="13" t="s">
        <v>190</v>
      </c>
      <c r="D99" s="14">
        <v>0.25</v>
      </c>
      <c r="F99" s="6"/>
    </row>
    <row r="100" spans="1:6" x14ac:dyDescent="0.25">
      <c r="A100" s="10">
        <v>341</v>
      </c>
      <c r="B100" s="10" t="s">
        <v>191</v>
      </c>
      <c r="C100" s="13" t="s">
        <v>192</v>
      </c>
      <c r="D100" s="14">
        <v>0.5</v>
      </c>
      <c r="F100" s="6"/>
    </row>
    <row r="101" spans="1:6" x14ac:dyDescent="0.25">
      <c r="A101" s="10">
        <v>342</v>
      </c>
      <c r="B101" s="10" t="s">
        <v>193</v>
      </c>
      <c r="C101" s="13" t="s">
        <v>194</v>
      </c>
      <c r="D101" s="14">
        <v>0.5</v>
      </c>
      <c r="F101" s="6"/>
    </row>
    <row r="102" spans="1:6" x14ac:dyDescent="0.25">
      <c r="A102" s="10">
        <v>346</v>
      </c>
      <c r="B102" s="10" t="s">
        <v>196</v>
      </c>
      <c r="C102" s="13" t="s">
        <v>197</v>
      </c>
      <c r="D102" s="14">
        <v>0.5</v>
      </c>
      <c r="F102" s="6"/>
    </row>
    <row r="103" spans="1:6" x14ac:dyDescent="0.25">
      <c r="A103" s="10">
        <v>366</v>
      </c>
      <c r="B103" s="10" t="s">
        <v>198</v>
      </c>
      <c r="C103" s="13" t="s">
        <v>199</v>
      </c>
      <c r="D103" s="14">
        <v>0.5</v>
      </c>
      <c r="F103" s="6"/>
    </row>
    <row r="104" spans="1:6" x14ac:dyDescent="0.25">
      <c r="A104" s="10">
        <v>400</v>
      </c>
      <c r="B104" s="10" t="s">
        <v>200</v>
      </c>
      <c r="C104" s="13" t="s">
        <v>201</v>
      </c>
      <c r="D104" s="14">
        <v>0.25</v>
      </c>
      <c r="F104" s="6"/>
    </row>
    <row r="105" spans="1:6" x14ac:dyDescent="0.25">
      <c r="A105" s="10">
        <v>404</v>
      </c>
      <c r="B105" s="10" t="s">
        <v>202</v>
      </c>
      <c r="C105" s="13" t="s">
        <v>203</v>
      </c>
      <c r="D105" s="14">
        <v>0.5</v>
      </c>
      <c r="F105" s="6"/>
    </row>
    <row r="106" spans="1:6" x14ac:dyDescent="0.25">
      <c r="A106" s="10">
        <v>407</v>
      </c>
      <c r="B106" s="10" t="s">
        <v>204</v>
      </c>
      <c r="C106" s="13" t="s">
        <v>205</v>
      </c>
      <c r="D106" s="14">
        <v>0.5</v>
      </c>
      <c r="F106" s="6"/>
    </row>
    <row r="107" spans="1:6" x14ac:dyDescent="0.25">
      <c r="A107" s="10">
        <v>408</v>
      </c>
      <c r="B107" s="10" t="s">
        <v>206</v>
      </c>
      <c r="C107" s="13" t="s">
        <v>207</v>
      </c>
      <c r="D107" s="14">
        <v>0.25</v>
      </c>
      <c r="F107" s="6"/>
    </row>
    <row r="108" spans="1:6" x14ac:dyDescent="0.25">
      <c r="A108" s="10">
        <v>415</v>
      </c>
      <c r="B108" s="10" t="s">
        <v>208</v>
      </c>
      <c r="C108" s="13" t="s">
        <v>209</v>
      </c>
      <c r="D108" s="14">
        <v>0.25</v>
      </c>
      <c r="F108" s="6"/>
    </row>
    <row r="109" spans="1:6" x14ac:dyDescent="0.25">
      <c r="A109" s="10">
        <v>416</v>
      </c>
      <c r="B109" s="10" t="s">
        <v>210</v>
      </c>
      <c r="C109" s="13" t="s">
        <v>211</v>
      </c>
      <c r="D109" s="14">
        <v>1</v>
      </c>
      <c r="F109" s="6"/>
    </row>
    <row r="110" spans="1:6" x14ac:dyDescent="0.25">
      <c r="A110" s="10">
        <v>417</v>
      </c>
      <c r="B110" s="10" t="s">
        <v>938</v>
      </c>
      <c r="C110" s="13" t="s">
        <v>879</v>
      </c>
      <c r="D110" s="14">
        <v>0.25</v>
      </c>
      <c r="F110" s="6"/>
    </row>
    <row r="111" spans="1:6" x14ac:dyDescent="0.25">
      <c r="A111" s="10">
        <v>418</v>
      </c>
      <c r="B111" s="10" t="s">
        <v>939</v>
      </c>
      <c r="C111" s="13" t="s">
        <v>880</v>
      </c>
      <c r="D111" s="14">
        <v>0.25</v>
      </c>
      <c r="F111" s="6"/>
    </row>
    <row r="112" spans="1:6" x14ac:dyDescent="0.25">
      <c r="A112" s="10">
        <v>419</v>
      </c>
      <c r="B112" s="10" t="s">
        <v>212</v>
      </c>
      <c r="C112" s="13" t="s">
        <v>213</v>
      </c>
      <c r="D112" s="14">
        <v>0.25</v>
      </c>
      <c r="F112" s="6"/>
    </row>
    <row r="113" spans="1:6" x14ac:dyDescent="0.25">
      <c r="A113" s="10">
        <v>450</v>
      </c>
      <c r="B113" s="10" t="s">
        <v>214</v>
      </c>
      <c r="C113" s="13" t="s">
        <v>215</v>
      </c>
      <c r="D113" s="14">
        <v>0.25</v>
      </c>
      <c r="F113" s="6"/>
    </row>
    <row r="114" spans="1:6" x14ac:dyDescent="0.25">
      <c r="A114" s="10">
        <v>509</v>
      </c>
      <c r="B114" s="10" t="s">
        <v>940</v>
      </c>
      <c r="C114" s="13" t="s">
        <v>881</v>
      </c>
      <c r="D114" s="14">
        <v>0.25</v>
      </c>
      <c r="F114" s="6"/>
    </row>
    <row r="115" spans="1:6" x14ac:dyDescent="0.25">
      <c r="A115" s="10">
        <v>516</v>
      </c>
      <c r="B115" s="10" t="s">
        <v>221</v>
      </c>
      <c r="C115" s="13" t="s">
        <v>222</v>
      </c>
      <c r="D115" s="14">
        <v>0.25</v>
      </c>
      <c r="F115" s="6"/>
    </row>
    <row r="116" spans="1:6" x14ac:dyDescent="0.25">
      <c r="A116" s="10">
        <v>524</v>
      </c>
      <c r="B116" s="10" t="s">
        <v>223</v>
      </c>
      <c r="C116" s="13" t="s">
        <v>224</v>
      </c>
      <c r="D116" s="14">
        <v>1.25</v>
      </c>
      <c r="F116" s="6"/>
    </row>
    <row r="117" spans="1:6" x14ac:dyDescent="0.25">
      <c r="A117" s="10">
        <v>531</v>
      </c>
      <c r="B117" s="10" t="s">
        <v>226</v>
      </c>
      <c r="C117" s="13" t="s">
        <v>227</v>
      </c>
      <c r="D117" s="14">
        <v>1</v>
      </c>
      <c r="F117" s="6"/>
    </row>
    <row r="118" spans="1:6" x14ac:dyDescent="0.25">
      <c r="A118" s="10">
        <v>533</v>
      </c>
      <c r="B118" s="10" t="s">
        <v>228</v>
      </c>
      <c r="C118" s="13" t="s">
        <v>229</v>
      </c>
      <c r="D118" s="14">
        <v>0.5</v>
      </c>
      <c r="F118" s="6"/>
    </row>
    <row r="119" spans="1:6" x14ac:dyDescent="0.25">
      <c r="A119" s="10">
        <v>539</v>
      </c>
      <c r="B119" s="10" t="s">
        <v>941</v>
      </c>
      <c r="C119" s="13" t="s">
        <v>882</v>
      </c>
      <c r="D119" s="14">
        <v>1</v>
      </c>
      <c r="F119" s="6"/>
    </row>
    <row r="120" spans="1:6" x14ac:dyDescent="0.25">
      <c r="A120" s="10">
        <v>549</v>
      </c>
      <c r="B120" s="10" t="s">
        <v>942</v>
      </c>
      <c r="C120" s="13" t="s">
        <v>883</v>
      </c>
      <c r="D120" s="14">
        <v>0.5</v>
      </c>
      <c r="F120" s="6"/>
    </row>
    <row r="121" spans="1:6" x14ac:dyDescent="0.25">
      <c r="A121" s="10">
        <v>560</v>
      </c>
      <c r="B121" s="10" t="s">
        <v>235</v>
      </c>
      <c r="C121" s="13" t="s">
        <v>236</v>
      </c>
      <c r="D121" s="14">
        <v>0.25</v>
      </c>
      <c r="F121" s="6"/>
    </row>
    <row r="122" spans="1:6" x14ac:dyDescent="0.25">
      <c r="A122" s="10">
        <v>572</v>
      </c>
      <c r="B122" s="10" t="s">
        <v>238</v>
      </c>
      <c r="C122" s="13" t="s">
        <v>239</v>
      </c>
      <c r="D122" s="14">
        <v>0.25</v>
      </c>
      <c r="F122" s="6"/>
    </row>
    <row r="123" spans="1:6" x14ac:dyDescent="0.25">
      <c r="A123" s="10">
        <v>583</v>
      </c>
      <c r="B123" s="10" t="s">
        <v>943</v>
      </c>
      <c r="C123" s="13" t="s">
        <v>884</v>
      </c>
      <c r="D123" s="14">
        <v>1</v>
      </c>
      <c r="F123" s="6"/>
    </row>
    <row r="124" spans="1:6" x14ac:dyDescent="0.25">
      <c r="A124" s="10">
        <v>587</v>
      </c>
      <c r="B124" s="10" t="s">
        <v>944</v>
      </c>
      <c r="C124" s="13" t="s">
        <v>885</v>
      </c>
      <c r="D124" s="14">
        <v>0.75</v>
      </c>
      <c r="F124" s="6"/>
    </row>
    <row r="125" spans="1:6" x14ac:dyDescent="0.25">
      <c r="A125" s="10">
        <v>589</v>
      </c>
      <c r="B125" s="10" t="s">
        <v>945</v>
      </c>
      <c r="C125" s="13" t="s">
        <v>886</v>
      </c>
      <c r="D125" s="14">
        <v>1</v>
      </c>
      <c r="F125" s="6"/>
    </row>
    <row r="126" spans="1:6" x14ac:dyDescent="0.25">
      <c r="A126" s="10">
        <v>590</v>
      </c>
      <c r="B126" s="10" t="s">
        <v>240</v>
      </c>
      <c r="C126" s="13" t="s">
        <v>241</v>
      </c>
      <c r="D126" s="14">
        <v>0.25</v>
      </c>
      <c r="F126" s="6"/>
    </row>
    <row r="127" spans="1:6" x14ac:dyDescent="0.25">
      <c r="A127" s="10">
        <v>592</v>
      </c>
      <c r="B127" s="10" t="s">
        <v>242</v>
      </c>
      <c r="C127" s="13" t="s">
        <v>243</v>
      </c>
      <c r="D127" s="14">
        <v>1.5</v>
      </c>
      <c r="F127" s="6"/>
    </row>
    <row r="128" spans="1:6" x14ac:dyDescent="0.25">
      <c r="A128" s="10">
        <v>597</v>
      </c>
      <c r="B128" s="10" t="s">
        <v>244</v>
      </c>
      <c r="C128" s="13" t="s">
        <v>245</v>
      </c>
      <c r="D128" s="14">
        <v>0.5</v>
      </c>
      <c r="F128" s="6"/>
    </row>
    <row r="129" spans="1:6" x14ac:dyDescent="0.25">
      <c r="A129" s="10">
        <v>610</v>
      </c>
      <c r="B129" s="10" t="s">
        <v>247</v>
      </c>
      <c r="C129" s="13" t="s">
        <v>248</v>
      </c>
      <c r="D129" s="14">
        <v>3</v>
      </c>
      <c r="F129" s="6"/>
    </row>
    <row r="130" spans="1:6" x14ac:dyDescent="0.25">
      <c r="A130" s="10">
        <v>621</v>
      </c>
      <c r="B130" s="10" t="s">
        <v>946</v>
      </c>
      <c r="C130" s="13" t="s">
        <v>887</v>
      </c>
      <c r="D130" s="14">
        <v>0.25</v>
      </c>
      <c r="F130" s="6"/>
    </row>
    <row r="131" spans="1:6" x14ac:dyDescent="0.25">
      <c r="A131" s="10">
        <v>622</v>
      </c>
      <c r="B131" s="10" t="s">
        <v>253</v>
      </c>
      <c r="C131" s="13" t="s">
        <v>254</v>
      </c>
      <c r="D131" s="14">
        <v>0.25</v>
      </c>
      <c r="F131" s="6"/>
    </row>
    <row r="132" spans="1:6" x14ac:dyDescent="0.25">
      <c r="A132" s="10">
        <v>626</v>
      </c>
      <c r="B132" s="10" t="s">
        <v>255</v>
      </c>
      <c r="C132" s="13" t="s">
        <v>256</v>
      </c>
      <c r="D132" s="14">
        <v>1.25</v>
      </c>
      <c r="F132" s="6"/>
    </row>
    <row r="133" spans="1:6" x14ac:dyDescent="0.25">
      <c r="A133" s="10">
        <v>629</v>
      </c>
      <c r="B133" s="10" t="s">
        <v>258</v>
      </c>
      <c r="C133" s="13" t="s">
        <v>259</v>
      </c>
      <c r="D133" s="14">
        <v>0.25</v>
      </c>
      <c r="F133" s="6"/>
    </row>
    <row r="134" spans="1:6" x14ac:dyDescent="0.25">
      <c r="A134" s="10">
        <v>631</v>
      </c>
      <c r="B134" s="10" t="s">
        <v>260</v>
      </c>
      <c r="C134" s="13" t="s">
        <v>261</v>
      </c>
      <c r="D134" s="14">
        <v>0.5</v>
      </c>
      <c r="F134" s="6"/>
    </row>
    <row r="135" spans="1:6" x14ac:dyDescent="0.25">
      <c r="A135" s="10">
        <v>633</v>
      </c>
      <c r="B135" s="10" t="s">
        <v>262</v>
      </c>
      <c r="C135" s="13" t="s">
        <v>263</v>
      </c>
      <c r="D135" s="14">
        <v>0.25</v>
      </c>
      <c r="F135" s="6"/>
    </row>
    <row r="136" spans="1:6" x14ac:dyDescent="0.25">
      <c r="A136" s="10">
        <v>634</v>
      </c>
      <c r="B136" s="10" t="s">
        <v>264</v>
      </c>
      <c r="C136" s="13" t="s">
        <v>265</v>
      </c>
      <c r="D136" s="14">
        <v>1</v>
      </c>
      <c r="F136" s="6"/>
    </row>
    <row r="137" spans="1:6" x14ac:dyDescent="0.25">
      <c r="A137" s="10">
        <v>642</v>
      </c>
      <c r="B137" s="10" t="s">
        <v>267</v>
      </c>
      <c r="C137" s="13" t="s">
        <v>268</v>
      </c>
      <c r="D137" s="14">
        <v>0.25</v>
      </c>
      <c r="F137" s="6"/>
    </row>
    <row r="138" spans="1:6" x14ac:dyDescent="0.25">
      <c r="A138" s="10">
        <v>658</v>
      </c>
      <c r="B138" s="10" t="s">
        <v>272</v>
      </c>
      <c r="C138" s="13" t="s">
        <v>273</v>
      </c>
      <c r="D138" s="14">
        <v>0.5</v>
      </c>
      <c r="F138" s="6"/>
    </row>
    <row r="139" spans="1:6" x14ac:dyDescent="0.25">
      <c r="A139" s="10">
        <v>663</v>
      </c>
      <c r="B139" s="10" t="s">
        <v>274</v>
      </c>
      <c r="C139" s="13" t="s">
        <v>275</v>
      </c>
      <c r="D139" s="14">
        <v>0.25</v>
      </c>
      <c r="F139" s="6"/>
    </row>
    <row r="140" spans="1:6" x14ac:dyDescent="0.25">
      <c r="A140" s="10">
        <v>677</v>
      </c>
      <c r="B140" s="10" t="s">
        <v>947</v>
      </c>
      <c r="C140" s="13" t="s">
        <v>888</v>
      </c>
      <c r="D140" s="14">
        <v>0.25</v>
      </c>
      <c r="F140" s="6"/>
    </row>
    <row r="141" spans="1:6" x14ac:dyDescent="0.25">
      <c r="A141" s="10">
        <v>678</v>
      </c>
      <c r="B141" s="10" t="s">
        <v>277</v>
      </c>
      <c r="C141" s="13" t="s">
        <v>278</v>
      </c>
      <c r="D141" s="14">
        <v>1</v>
      </c>
      <c r="F141" s="6"/>
    </row>
    <row r="142" spans="1:6" x14ac:dyDescent="0.25">
      <c r="A142" s="10">
        <v>692</v>
      </c>
      <c r="B142" s="10" t="s">
        <v>948</v>
      </c>
      <c r="C142" s="13" t="s">
        <v>889</v>
      </c>
      <c r="D142" s="14">
        <v>1</v>
      </c>
      <c r="F142" s="6"/>
    </row>
    <row r="143" spans="1:6" x14ac:dyDescent="0.25">
      <c r="A143" s="10">
        <v>704</v>
      </c>
      <c r="B143" s="10" t="s">
        <v>949</v>
      </c>
      <c r="C143" s="13" t="s">
        <v>890</v>
      </c>
      <c r="D143" s="14">
        <v>0.25</v>
      </c>
      <c r="F143" s="6"/>
    </row>
    <row r="144" spans="1:6" x14ac:dyDescent="0.25">
      <c r="A144" s="10">
        <v>779</v>
      </c>
      <c r="B144" s="10" t="s">
        <v>292</v>
      </c>
      <c r="C144" s="13" t="s">
        <v>293</v>
      </c>
      <c r="D144" s="14">
        <v>0.5</v>
      </c>
      <c r="F144" s="6"/>
    </row>
    <row r="145" spans="1:6" x14ac:dyDescent="0.25">
      <c r="A145" s="10">
        <v>797</v>
      </c>
      <c r="B145" s="10" t="s">
        <v>298</v>
      </c>
      <c r="C145" s="13" t="s">
        <v>299</v>
      </c>
      <c r="D145" s="14">
        <v>0.25</v>
      </c>
      <c r="F145" s="6"/>
    </row>
    <row r="146" spans="1:6" x14ac:dyDescent="0.25">
      <c r="A146" s="10">
        <v>802</v>
      </c>
      <c r="B146" s="10" t="s">
        <v>950</v>
      </c>
      <c r="C146" s="13" t="s">
        <v>891</v>
      </c>
      <c r="D146" s="14">
        <v>0.75</v>
      </c>
      <c r="F146" s="6"/>
    </row>
    <row r="147" spans="1:6" x14ac:dyDescent="0.25">
      <c r="A147" s="10">
        <v>805</v>
      </c>
      <c r="B147" s="10" t="s">
        <v>301</v>
      </c>
      <c r="C147" s="13" t="s">
        <v>302</v>
      </c>
      <c r="D147" s="14">
        <v>0.5</v>
      </c>
      <c r="F147" s="6"/>
    </row>
    <row r="148" spans="1:6" x14ac:dyDescent="0.25">
      <c r="A148" s="10">
        <v>841</v>
      </c>
      <c r="B148" s="10" t="s">
        <v>303</v>
      </c>
      <c r="C148" s="13" t="s">
        <v>304</v>
      </c>
      <c r="D148" s="14">
        <v>0.5</v>
      </c>
      <c r="F148" s="6"/>
    </row>
    <row r="149" spans="1:6" x14ac:dyDescent="0.25">
      <c r="A149" s="10">
        <v>842</v>
      </c>
      <c r="B149" s="10" t="s">
        <v>305</v>
      </c>
      <c r="C149" s="13" t="s">
        <v>306</v>
      </c>
      <c r="D149" s="14">
        <v>0.25</v>
      </c>
      <c r="F149" s="6"/>
    </row>
    <row r="150" spans="1:6" x14ac:dyDescent="0.25">
      <c r="A150" s="10">
        <v>843</v>
      </c>
      <c r="B150" s="10" t="s">
        <v>307</v>
      </c>
      <c r="C150" s="13" t="s">
        <v>308</v>
      </c>
      <c r="D150" s="14">
        <v>0.75</v>
      </c>
      <c r="F150" s="6"/>
    </row>
    <row r="151" spans="1:6" x14ac:dyDescent="0.25">
      <c r="A151" s="10">
        <v>845</v>
      </c>
      <c r="B151" s="10" t="s">
        <v>309</v>
      </c>
      <c r="C151" s="13" t="s">
        <v>310</v>
      </c>
      <c r="D151" s="14">
        <v>0.5</v>
      </c>
      <c r="F151" s="6"/>
    </row>
    <row r="152" spans="1:6" x14ac:dyDescent="0.25">
      <c r="A152" s="10">
        <v>850</v>
      </c>
      <c r="B152" s="10" t="s">
        <v>311</v>
      </c>
      <c r="C152" s="13" t="s">
        <v>312</v>
      </c>
      <c r="D152" s="14">
        <v>0.5</v>
      </c>
      <c r="F152" s="6"/>
    </row>
    <row r="153" spans="1:6" x14ac:dyDescent="0.25">
      <c r="A153" s="10">
        <v>851</v>
      </c>
      <c r="B153" s="10" t="s">
        <v>313</v>
      </c>
      <c r="C153" s="13" t="s">
        <v>314</v>
      </c>
      <c r="D153" s="14">
        <v>1</v>
      </c>
      <c r="F153" s="6"/>
    </row>
    <row r="154" spans="1:6" x14ac:dyDescent="0.25">
      <c r="A154" s="10">
        <v>855</v>
      </c>
      <c r="B154" s="10" t="s">
        <v>315</v>
      </c>
      <c r="C154" s="13" t="s">
        <v>316</v>
      </c>
      <c r="D154" s="14">
        <v>0.25</v>
      </c>
      <c r="F154" s="6"/>
    </row>
    <row r="155" spans="1:6" x14ac:dyDescent="0.25">
      <c r="A155" s="10">
        <v>857</v>
      </c>
      <c r="B155" s="10" t="s">
        <v>317</v>
      </c>
      <c r="C155" s="13" t="s">
        <v>318</v>
      </c>
      <c r="D155" s="14">
        <v>0.5</v>
      </c>
      <c r="F155" s="6"/>
    </row>
    <row r="156" spans="1:6" x14ac:dyDescent="0.25">
      <c r="A156" s="10">
        <v>858</v>
      </c>
      <c r="B156" s="10" t="s">
        <v>319</v>
      </c>
      <c r="C156" s="13" t="s">
        <v>320</v>
      </c>
      <c r="D156" s="14">
        <v>0.25</v>
      </c>
      <c r="F156" s="6"/>
    </row>
    <row r="157" spans="1:6" x14ac:dyDescent="0.25">
      <c r="A157" s="10">
        <v>860</v>
      </c>
      <c r="B157" s="10" t="s">
        <v>321</v>
      </c>
      <c r="C157" s="13" t="s">
        <v>322</v>
      </c>
      <c r="D157" s="14">
        <v>0.75</v>
      </c>
      <c r="F157" s="6"/>
    </row>
    <row r="158" spans="1:6" x14ac:dyDescent="0.25">
      <c r="A158" s="10">
        <v>862</v>
      </c>
      <c r="B158" s="10" t="s">
        <v>323</v>
      </c>
      <c r="C158" s="13" t="s">
        <v>324</v>
      </c>
      <c r="D158" s="14">
        <v>0.5</v>
      </c>
      <c r="F158" s="6"/>
    </row>
    <row r="159" spans="1:6" x14ac:dyDescent="0.25">
      <c r="A159" s="10">
        <v>866</v>
      </c>
      <c r="B159" s="10" t="s">
        <v>325</v>
      </c>
      <c r="C159" s="13" t="s">
        <v>326</v>
      </c>
      <c r="D159" s="14">
        <v>0.75</v>
      </c>
      <c r="F159" s="6"/>
    </row>
    <row r="160" spans="1:6" x14ac:dyDescent="0.25">
      <c r="A160" s="10">
        <v>867</v>
      </c>
      <c r="B160" s="10" t="s">
        <v>327</v>
      </c>
      <c r="C160" s="13" t="s">
        <v>328</v>
      </c>
      <c r="D160" s="14">
        <v>0.75</v>
      </c>
      <c r="F160" s="6"/>
    </row>
    <row r="161" spans="1:6" x14ac:dyDescent="0.25">
      <c r="A161" s="10">
        <v>869</v>
      </c>
      <c r="B161" s="10" t="s">
        <v>329</v>
      </c>
      <c r="C161" s="13" t="s">
        <v>330</v>
      </c>
      <c r="D161" s="14">
        <v>0.25</v>
      </c>
      <c r="F161" s="6"/>
    </row>
    <row r="162" spans="1:6" x14ac:dyDescent="0.25">
      <c r="A162" s="10">
        <v>873</v>
      </c>
      <c r="B162" s="10" t="s">
        <v>332</v>
      </c>
      <c r="C162" s="13" t="s">
        <v>333</v>
      </c>
      <c r="D162" s="14">
        <v>0.75</v>
      </c>
      <c r="F162" s="6"/>
    </row>
    <row r="163" spans="1:6" x14ac:dyDescent="0.25">
      <c r="A163" s="10">
        <v>874</v>
      </c>
      <c r="B163" s="10" t="s">
        <v>334</v>
      </c>
      <c r="C163" s="13" t="s">
        <v>335</v>
      </c>
      <c r="D163" s="14">
        <v>0.5</v>
      </c>
      <c r="F163" s="6"/>
    </row>
    <row r="164" spans="1:6" x14ac:dyDescent="0.25">
      <c r="A164" s="10">
        <v>877</v>
      </c>
      <c r="B164" s="10" t="s">
        <v>336</v>
      </c>
      <c r="C164" s="13" t="s">
        <v>337</v>
      </c>
      <c r="D164" s="14">
        <v>0.5</v>
      </c>
      <c r="F164" s="6"/>
    </row>
    <row r="165" spans="1:6" x14ac:dyDescent="0.25">
      <c r="A165" s="10">
        <v>880</v>
      </c>
      <c r="B165" s="10" t="s">
        <v>338</v>
      </c>
      <c r="C165" s="13" t="s">
        <v>339</v>
      </c>
      <c r="D165" s="14">
        <v>0.25</v>
      </c>
      <c r="F165" s="6"/>
    </row>
    <row r="166" spans="1:6" x14ac:dyDescent="0.25">
      <c r="A166" s="10">
        <v>882</v>
      </c>
      <c r="B166" s="10" t="s">
        <v>340</v>
      </c>
      <c r="C166" s="13" t="s">
        <v>341</v>
      </c>
      <c r="D166" s="14">
        <v>0.25</v>
      </c>
      <c r="F166" s="6"/>
    </row>
    <row r="167" spans="1:6" x14ac:dyDescent="0.25">
      <c r="A167" s="10">
        <v>883</v>
      </c>
      <c r="B167" s="10" t="s">
        <v>342</v>
      </c>
      <c r="C167" s="13" t="s">
        <v>343</v>
      </c>
      <c r="D167" s="14">
        <v>0.5</v>
      </c>
      <c r="F167" s="6"/>
    </row>
    <row r="168" spans="1:6" x14ac:dyDescent="0.25">
      <c r="A168" s="10">
        <v>884</v>
      </c>
      <c r="B168" s="10" t="s">
        <v>344</v>
      </c>
      <c r="C168" s="13" t="s">
        <v>345</v>
      </c>
      <c r="D168" s="14">
        <v>0.75</v>
      </c>
      <c r="F168" s="6"/>
    </row>
    <row r="169" spans="1:6" x14ac:dyDescent="0.25">
      <c r="A169" s="10">
        <v>885</v>
      </c>
      <c r="B169" s="10" t="s">
        <v>346</v>
      </c>
      <c r="C169" s="13" t="s">
        <v>347</v>
      </c>
      <c r="D169" s="14">
        <v>1</v>
      </c>
      <c r="F169" s="6"/>
    </row>
    <row r="170" spans="1:6" x14ac:dyDescent="0.25">
      <c r="A170" s="10">
        <v>886</v>
      </c>
      <c r="B170" s="10" t="s">
        <v>348</v>
      </c>
      <c r="C170" s="13" t="s">
        <v>349</v>
      </c>
      <c r="D170" s="14">
        <v>0.75</v>
      </c>
      <c r="F170" s="6"/>
    </row>
    <row r="171" spans="1:6" x14ac:dyDescent="0.25">
      <c r="A171" s="10">
        <v>887</v>
      </c>
      <c r="B171" s="10" t="s">
        <v>350</v>
      </c>
      <c r="C171" s="13" t="s">
        <v>351</v>
      </c>
      <c r="D171" s="14">
        <v>0.5</v>
      </c>
      <c r="F171" s="6"/>
    </row>
    <row r="172" spans="1:6" x14ac:dyDescent="0.25">
      <c r="A172" s="10">
        <v>890</v>
      </c>
      <c r="B172" s="10" t="s">
        <v>352</v>
      </c>
      <c r="C172" s="13" t="s">
        <v>353</v>
      </c>
      <c r="D172" s="14">
        <v>0.25</v>
      </c>
      <c r="F172" s="6"/>
    </row>
    <row r="173" spans="1:6" x14ac:dyDescent="0.25">
      <c r="A173" s="10">
        <v>892</v>
      </c>
      <c r="B173" s="10" t="s">
        <v>354</v>
      </c>
      <c r="C173" s="13" t="s">
        <v>355</v>
      </c>
      <c r="D173" s="14">
        <v>1.25</v>
      </c>
      <c r="F173" s="6"/>
    </row>
    <row r="174" spans="1:6" x14ac:dyDescent="0.25">
      <c r="A174" s="10">
        <v>893</v>
      </c>
      <c r="B174" s="10" t="s">
        <v>356</v>
      </c>
      <c r="C174" s="13" t="s">
        <v>357</v>
      </c>
      <c r="D174" s="14">
        <v>0.75</v>
      </c>
      <c r="F174" s="6"/>
    </row>
    <row r="175" spans="1:6" x14ac:dyDescent="0.25">
      <c r="A175" s="10">
        <v>899</v>
      </c>
      <c r="B175" s="10" t="s">
        <v>358</v>
      </c>
      <c r="C175" s="13" t="s">
        <v>359</v>
      </c>
      <c r="D175" s="14">
        <v>0.25</v>
      </c>
      <c r="F175" s="6"/>
    </row>
    <row r="176" spans="1:6" x14ac:dyDescent="0.25">
      <c r="A176" s="10">
        <v>900</v>
      </c>
      <c r="B176" s="10" t="s">
        <v>360</v>
      </c>
      <c r="C176" s="13" t="s">
        <v>361</v>
      </c>
      <c r="D176" s="14">
        <v>0.25</v>
      </c>
      <c r="F176" s="6"/>
    </row>
    <row r="177" spans="1:6" x14ac:dyDescent="0.25">
      <c r="A177" s="10">
        <v>901</v>
      </c>
      <c r="B177" s="10" t="s">
        <v>362</v>
      </c>
      <c r="C177" s="13" t="s">
        <v>363</v>
      </c>
      <c r="D177" s="14">
        <v>0.75</v>
      </c>
      <c r="F177" s="6"/>
    </row>
    <row r="178" spans="1:6" x14ac:dyDescent="0.25">
      <c r="A178" s="10">
        <v>902</v>
      </c>
      <c r="B178" s="10" t="s">
        <v>364</v>
      </c>
      <c r="C178" s="13" t="s">
        <v>365</v>
      </c>
      <c r="D178" s="14">
        <v>0.75</v>
      </c>
      <c r="F178" s="6"/>
    </row>
    <row r="179" spans="1:6" x14ac:dyDescent="0.25">
      <c r="A179" s="10">
        <v>908</v>
      </c>
      <c r="B179" s="10" t="s">
        <v>367</v>
      </c>
      <c r="C179" s="13" t="s">
        <v>368</v>
      </c>
      <c r="D179" s="14">
        <v>0.25</v>
      </c>
      <c r="F179" s="6"/>
    </row>
    <row r="180" spans="1:6" x14ac:dyDescent="0.25">
      <c r="A180" s="10">
        <v>911</v>
      </c>
      <c r="B180" s="10" t="s">
        <v>370</v>
      </c>
      <c r="C180" s="13" t="s">
        <v>371</v>
      </c>
      <c r="D180" s="14">
        <v>0.5</v>
      </c>
      <c r="F180" s="6"/>
    </row>
    <row r="181" spans="1:6" x14ac:dyDescent="0.25">
      <c r="A181" s="10">
        <v>912</v>
      </c>
      <c r="B181" s="10" t="s">
        <v>372</v>
      </c>
      <c r="C181" s="13" t="s">
        <v>373</v>
      </c>
      <c r="D181" s="14">
        <v>0.25</v>
      </c>
      <c r="F181" s="6"/>
    </row>
    <row r="182" spans="1:6" x14ac:dyDescent="0.25">
      <c r="A182" s="10">
        <v>913</v>
      </c>
      <c r="B182" s="10" t="s">
        <v>374</v>
      </c>
      <c r="C182" s="13" t="s">
        <v>375</v>
      </c>
      <c r="D182" s="14">
        <v>0.5</v>
      </c>
      <c r="F182" s="6"/>
    </row>
    <row r="183" spans="1:6" x14ac:dyDescent="0.25">
      <c r="A183" s="10">
        <v>915</v>
      </c>
      <c r="B183" s="10" t="s">
        <v>376</v>
      </c>
      <c r="C183" s="13" t="s">
        <v>377</v>
      </c>
      <c r="D183" s="14">
        <v>0.75</v>
      </c>
      <c r="F183" s="6"/>
    </row>
    <row r="184" spans="1:6" x14ac:dyDescent="0.25">
      <c r="A184" s="10">
        <v>918</v>
      </c>
      <c r="B184" s="10" t="s">
        <v>379</v>
      </c>
      <c r="C184" s="13" t="s">
        <v>380</v>
      </c>
      <c r="D184" s="14">
        <v>0.5</v>
      </c>
      <c r="F184" s="6"/>
    </row>
    <row r="185" spans="1:6" x14ac:dyDescent="0.25">
      <c r="A185" s="10">
        <v>919</v>
      </c>
      <c r="B185" s="10" t="s">
        <v>381</v>
      </c>
      <c r="C185" s="13" t="s">
        <v>382</v>
      </c>
      <c r="D185" s="14">
        <v>1</v>
      </c>
      <c r="F185" s="6"/>
    </row>
    <row r="186" spans="1:6" x14ac:dyDescent="0.25">
      <c r="A186" s="10">
        <v>920</v>
      </c>
      <c r="B186" s="10" t="s">
        <v>383</v>
      </c>
      <c r="C186" s="13" t="s">
        <v>384</v>
      </c>
      <c r="D186" s="14">
        <v>1</v>
      </c>
      <c r="F186" s="6"/>
    </row>
    <row r="187" spans="1:6" x14ac:dyDescent="0.25">
      <c r="A187" s="10">
        <v>924</v>
      </c>
      <c r="B187" s="10" t="s">
        <v>385</v>
      </c>
      <c r="C187" s="13" t="s">
        <v>386</v>
      </c>
      <c r="D187" s="14">
        <v>0.75</v>
      </c>
      <c r="F187" s="6"/>
    </row>
    <row r="188" spans="1:6" x14ac:dyDescent="0.25">
      <c r="A188" s="10">
        <v>929</v>
      </c>
      <c r="B188" s="10" t="s">
        <v>387</v>
      </c>
      <c r="C188" s="13" t="s">
        <v>388</v>
      </c>
      <c r="D188" s="14">
        <v>1.25</v>
      </c>
      <c r="F188" s="6"/>
    </row>
    <row r="189" spans="1:6" x14ac:dyDescent="0.25">
      <c r="A189" s="10">
        <v>930</v>
      </c>
      <c r="B189" s="10" t="s">
        <v>389</v>
      </c>
      <c r="C189" s="13" t="s">
        <v>390</v>
      </c>
      <c r="D189" s="14">
        <v>0.75</v>
      </c>
      <c r="F189" s="6"/>
    </row>
    <row r="190" spans="1:6" x14ac:dyDescent="0.25">
      <c r="A190" s="10">
        <v>931</v>
      </c>
      <c r="B190" s="10" t="s">
        <v>391</v>
      </c>
      <c r="C190" s="13" t="s">
        <v>392</v>
      </c>
      <c r="D190" s="14">
        <v>0.25</v>
      </c>
      <c r="F190" s="6"/>
    </row>
    <row r="191" spans="1:6" x14ac:dyDescent="0.25">
      <c r="A191" s="10">
        <v>933</v>
      </c>
      <c r="B191" s="10" t="s">
        <v>393</v>
      </c>
      <c r="C191" s="13" t="s">
        <v>394</v>
      </c>
      <c r="D191" s="14">
        <v>1</v>
      </c>
      <c r="F191" s="6"/>
    </row>
    <row r="192" spans="1:6" x14ac:dyDescent="0.25">
      <c r="A192" s="10">
        <v>934</v>
      </c>
      <c r="B192" s="10" t="s">
        <v>395</v>
      </c>
      <c r="C192" s="13" t="s">
        <v>396</v>
      </c>
      <c r="D192" s="14">
        <v>0.25</v>
      </c>
      <c r="F192" s="6"/>
    </row>
    <row r="193" spans="1:6" x14ac:dyDescent="0.25">
      <c r="A193" s="10">
        <v>938</v>
      </c>
      <c r="B193" s="10" t="s">
        <v>397</v>
      </c>
      <c r="C193" s="13" t="s">
        <v>398</v>
      </c>
      <c r="D193" s="14">
        <v>0.75</v>
      </c>
      <c r="F193" s="6"/>
    </row>
    <row r="194" spans="1:6" x14ac:dyDescent="0.25">
      <c r="A194" s="10">
        <v>939</v>
      </c>
      <c r="B194" s="10" t="s">
        <v>399</v>
      </c>
      <c r="C194" s="13" t="s">
        <v>400</v>
      </c>
      <c r="D194" s="14">
        <v>0.25</v>
      </c>
      <c r="F194" s="6"/>
    </row>
    <row r="195" spans="1:6" x14ac:dyDescent="0.25">
      <c r="A195" s="10">
        <v>940</v>
      </c>
      <c r="B195" s="10" t="s">
        <v>401</v>
      </c>
      <c r="C195" s="13" t="s">
        <v>402</v>
      </c>
      <c r="D195" s="14">
        <v>1</v>
      </c>
      <c r="F195" s="6"/>
    </row>
    <row r="196" spans="1:6" x14ac:dyDescent="0.25">
      <c r="A196" s="10">
        <v>941</v>
      </c>
      <c r="B196" s="10" t="s">
        <v>403</v>
      </c>
      <c r="C196" s="13" t="s">
        <v>404</v>
      </c>
      <c r="D196" s="14">
        <v>0.25</v>
      </c>
      <c r="F196" s="6"/>
    </row>
    <row r="197" spans="1:6" x14ac:dyDescent="0.25">
      <c r="A197" s="10">
        <v>942</v>
      </c>
      <c r="B197" s="10" t="s">
        <v>405</v>
      </c>
      <c r="C197" s="13" t="s">
        <v>406</v>
      </c>
      <c r="D197" s="14">
        <v>0.75</v>
      </c>
      <c r="F197" s="6"/>
    </row>
    <row r="198" spans="1:6" x14ac:dyDescent="0.25">
      <c r="A198" s="10">
        <v>943</v>
      </c>
      <c r="B198" s="10" t="s">
        <v>407</v>
      </c>
      <c r="C198" s="13" t="s">
        <v>408</v>
      </c>
      <c r="D198" s="14">
        <v>0.25</v>
      </c>
      <c r="F198" s="6"/>
    </row>
    <row r="199" spans="1:6" x14ac:dyDescent="0.25">
      <c r="A199" s="10">
        <v>950</v>
      </c>
      <c r="B199" s="10" t="s">
        <v>409</v>
      </c>
      <c r="C199" s="13" t="s">
        <v>410</v>
      </c>
      <c r="D199" s="14">
        <v>0.25</v>
      </c>
      <c r="F199" s="6"/>
    </row>
    <row r="200" spans="1:6" x14ac:dyDescent="0.25">
      <c r="A200" s="10">
        <v>958</v>
      </c>
      <c r="B200" s="10" t="s">
        <v>411</v>
      </c>
      <c r="C200" s="13" t="s">
        <v>412</v>
      </c>
      <c r="D200" s="14">
        <v>0.75</v>
      </c>
      <c r="F200" s="6"/>
    </row>
    <row r="201" spans="1:6" x14ac:dyDescent="0.25">
      <c r="A201" s="10">
        <v>962</v>
      </c>
      <c r="B201" s="10" t="s">
        <v>413</v>
      </c>
      <c r="C201" s="13" t="s">
        <v>414</v>
      </c>
      <c r="D201" s="14">
        <v>0.25</v>
      </c>
      <c r="F201" s="6"/>
    </row>
    <row r="202" spans="1:6" x14ac:dyDescent="0.25">
      <c r="A202" s="10">
        <v>963</v>
      </c>
      <c r="B202" s="10" t="s">
        <v>415</v>
      </c>
      <c r="C202" s="13" t="s">
        <v>416</v>
      </c>
      <c r="D202" s="14">
        <v>0.75</v>
      </c>
      <c r="F202" s="6"/>
    </row>
    <row r="203" spans="1:6" x14ac:dyDescent="0.25">
      <c r="A203" s="10">
        <v>964</v>
      </c>
      <c r="B203" s="10" t="s">
        <v>417</v>
      </c>
      <c r="C203" s="13" t="s">
        <v>418</v>
      </c>
      <c r="D203" s="14">
        <v>0.75</v>
      </c>
      <c r="F203" s="6"/>
    </row>
    <row r="204" spans="1:6" x14ac:dyDescent="0.25">
      <c r="A204" s="10">
        <v>966</v>
      </c>
      <c r="B204" s="10" t="s">
        <v>419</v>
      </c>
      <c r="C204" s="13" t="s">
        <v>420</v>
      </c>
      <c r="D204" s="14">
        <v>1</v>
      </c>
      <c r="F204" s="6"/>
    </row>
    <row r="205" spans="1:6" x14ac:dyDescent="0.25">
      <c r="A205" s="10">
        <v>967</v>
      </c>
      <c r="B205" s="10" t="s">
        <v>421</v>
      </c>
      <c r="C205" s="13" t="s">
        <v>422</v>
      </c>
      <c r="D205" s="14">
        <v>0.75</v>
      </c>
      <c r="F205" s="6"/>
    </row>
    <row r="206" spans="1:6" x14ac:dyDescent="0.25">
      <c r="A206" s="10">
        <v>968</v>
      </c>
      <c r="B206" s="10" t="s">
        <v>423</v>
      </c>
      <c r="C206" s="13" t="s">
        <v>424</v>
      </c>
      <c r="D206" s="14">
        <v>0.25</v>
      </c>
      <c r="F206" s="6"/>
    </row>
    <row r="207" spans="1:6" x14ac:dyDescent="0.25">
      <c r="A207" s="10">
        <v>969</v>
      </c>
      <c r="B207" s="10" t="s">
        <v>425</v>
      </c>
      <c r="C207" s="13" t="s">
        <v>426</v>
      </c>
      <c r="D207" s="14">
        <v>1</v>
      </c>
      <c r="F207" s="6"/>
    </row>
    <row r="208" spans="1:6" x14ac:dyDescent="0.25">
      <c r="A208" s="10">
        <v>970</v>
      </c>
      <c r="B208" s="10" t="s">
        <v>427</v>
      </c>
      <c r="C208" s="13" t="s">
        <v>428</v>
      </c>
      <c r="D208" s="14">
        <v>1.5</v>
      </c>
      <c r="F208" s="6"/>
    </row>
    <row r="209" spans="1:6" x14ac:dyDescent="0.25">
      <c r="A209" s="10">
        <v>971</v>
      </c>
      <c r="B209" s="10" t="s">
        <v>429</v>
      </c>
      <c r="C209" s="13" t="s">
        <v>430</v>
      </c>
      <c r="D209" s="14">
        <v>0.5</v>
      </c>
      <c r="F209" s="6"/>
    </row>
    <row r="210" spans="1:6" x14ac:dyDescent="0.25">
      <c r="A210" s="10">
        <v>972</v>
      </c>
      <c r="B210" s="10" t="s">
        <v>431</v>
      </c>
      <c r="C210" s="13" t="s">
        <v>432</v>
      </c>
      <c r="D210" s="14">
        <v>2.5</v>
      </c>
      <c r="F210" s="6"/>
    </row>
    <row r="211" spans="1:6" x14ac:dyDescent="0.25">
      <c r="A211" s="10">
        <v>973</v>
      </c>
      <c r="B211" s="10" t="s">
        <v>433</v>
      </c>
      <c r="C211" s="13" t="s">
        <v>434</v>
      </c>
      <c r="D211" s="14">
        <v>0.25</v>
      </c>
      <c r="F211" s="6"/>
    </row>
    <row r="212" spans="1:6" x14ac:dyDescent="0.25">
      <c r="A212" s="10">
        <v>974</v>
      </c>
      <c r="B212" s="10" t="s">
        <v>435</v>
      </c>
      <c r="C212" s="13" t="s">
        <v>436</v>
      </c>
      <c r="D212" s="14">
        <v>0.25</v>
      </c>
      <c r="F212" s="6"/>
    </row>
    <row r="213" spans="1:6" x14ac:dyDescent="0.25">
      <c r="A213" s="10">
        <v>977</v>
      </c>
      <c r="B213" s="10" t="s">
        <v>437</v>
      </c>
      <c r="C213" s="13" t="s">
        <v>438</v>
      </c>
      <c r="D213" s="14">
        <v>0.75</v>
      </c>
      <c r="F213" s="6"/>
    </row>
    <row r="214" spans="1:6" x14ac:dyDescent="0.25">
      <c r="A214" s="10">
        <v>978</v>
      </c>
      <c r="B214" s="10" t="s">
        <v>951</v>
      </c>
      <c r="C214" s="13" t="s">
        <v>892</v>
      </c>
      <c r="D214" s="14">
        <v>0.5</v>
      </c>
      <c r="F214" s="6"/>
    </row>
    <row r="215" spans="1:6" x14ac:dyDescent="0.25">
      <c r="A215" s="10">
        <v>980</v>
      </c>
      <c r="B215" s="10" t="s">
        <v>439</v>
      </c>
      <c r="C215" s="13" t="s">
        <v>440</v>
      </c>
      <c r="D215" s="14">
        <v>0.75</v>
      </c>
      <c r="F215" s="6"/>
    </row>
    <row r="216" spans="1:6" x14ac:dyDescent="0.25">
      <c r="A216" s="10">
        <v>981</v>
      </c>
      <c r="B216" s="10" t="s">
        <v>441</v>
      </c>
      <c r="C216" s="13" t="s">
        <v>442</v>
      </c>
      <c r="D216" s="14">
        <v>0.25</v>
      </c>
      <c r="F216" s="6"/>
    </row>
    <row r="217" spans="1:6" x14ac:dyDescent="0.25">
      <c r="A217" s="10">
        <v>982</v>
      </c>
      <c r="B217" s="10" t="s">
        <v>443</v>
      </c>
      <c r="C217" s="13" t="s">
        <v>444</v>
      </c>
      <c r="D217" s="14">
        <v>0.75</v>
      </c>
      <c r="F217" s="6"/>
    </row>
    <row r="218" spans="1:6" x14ac:dyDescent="0.25">
      <c r="A218" s="10">
        <v>983</v>
      </c>
      <c r="B218" s="10" t="s">
        <v>445</v>
      </c>
      <c r="C218" s="13" t="s">
        <v>446</v>
      </c>
      <c r="D218" s="14">
        <v>0.75</v>
      </c>
      <c r="F218" s="6"/>
    </row>
    <row r="219" spans="1:6" x14ac:dyDescent="0.25">
      <c r="A219" s="10">
        <v>1049</v>
      </c>
      <c r="B219" s="10" t="s">
        <v>454</v>
      </c>
      <c r="C219" s="13" t="s">
        <v>455</v>
      </c>
      <c r="D219" s="14">
        <v>0.5</v>
      </c>
      <c r="F219" s="6"/>
    </row>
    <row r="220" spans="1:6" x14ac:dyDescent="0.25">
      <c r="A220" s="10">
        <v>1128</v>
      </c>
      <c r="B220" s="10" t="s">
        <v>952</v>
      </c>
      <c r="C220" s="13" t="s">
        <v>893</v>
      </c>
      <c r="D220" s="14">
        <v>1.5</v>
      </c>
      <c r="F220" s="6"/>
    </row>
    <row r="221" spans="1:6" x14ac:dyDescent="0.25">
      <c r="A221" s="10">
        <v>1132</v>
      </c>
      <c r="B221" s="10" t="s">
        <v>458</v>
      </c>
      <c r="C221" s="13" t="s">
        <v>459</v>
      </c>
      <c r="D221" s="14">
        <v>0.75</v>
      </c>
      <c r="F221" s="6"/>
    </row>
    <row r="222" spans="1:6" x14ac:dyDescent="0.25">
      <c r="A222" s="10">
        <v>1137</v>
      </c>
      <c r="B222" s="10" t="s">
        <v>953</v>
      </c>
      <c r="C222" s="13" t="s">
        <v>894</v>
      </c>
      <c r="D222" s="14">
        <v>0.25</v>
      </c>
      <c r="F222" s="6"/>
    </row>
    <row r="223" spans="1:6" x14ac:dyDescent="0.25">
      <c r="A223" s="10">
        <v>1141</v>
      </c>
      <c r="B223" s="10" t="s">
        <v>954</v>
      </c>
      <c r="C223" s="13" t="s">
        <v>895</v>
      </c>
      <c r="D223" s="14">
        <v>0.75</v>
      </c>
      <c r="F223" s="6"/>
    </row>
    <row r="224" spans="1:6" x14ac:dyDescent="0.25">
      <c r="A224" s="10">
        <v>1151</v>
      </c>
      <c r="B224" s="10" t="s">
        <v>461</v>
      </c>
      <c r="C224" s="13" t="s">
        <v>462</v>
      </c>
      <c r="D224" s="14">
        <v>1</v>
      </c>
      <c r="F224" s="6"/>
    </row>
    <row r="225" spans="1:6" x14ac:dyDescent="0.25">
      <c r="A225" s="10">
        <v>1160</v>
      </c>
      <c r="B225" s="10" t="s">
        <v>463</v>
      </c>
      <c r="C225" s="13" t="s">
        <v>464</v>
      </c>
      <c r="D225" s="14">
        <v>0.5</v>
      </c>
      <c r="F225" s="6"/>
    </row>
    <row r="226" spans="1:6" x14ac:dyDescent="0.25">
      <c r="A226" s="10">
        <v>1175</v>
      </c>
      <c r="B226" s="10" t="s">
        <v>955</v>
      </c>
      <c r="C226" s="13" t="s">
        <v>896</v>
      </c>
      <c r="D226" s="14">
        <v>0.75</v>
      </c>
      <c r="F226" s="6"/>
    </row>
    <row r="227" spans="1:6" x14ac:dyDescent="0.25">
      <c r="A227" s="10">
        <v>1176</v>
      </c>
      <c r="B227" s="10" t="s">
        <v>956</v>
      </c>
      <c r="C227" s="13" t="s">
        <v>897</v>
      </c>
      <c r="D227" s="14">
        <v>0.25</v>
      </c>
      <c r="F227" s="6"/>
    </row>
    <row r="228" spans="1:6" x14ac:dyDescent="0.25">
      <c r="A228" s="10">
        <v>1202</v>
      </c>
      <c r="B228" s="10" t="s">
        <v>466</v>
      </c>
      <c r="C228" s="13" t="s">
        <v>467</v>
      </c>
      <c r="D228" s="14">
        <v>1.5</v>
      </c>
      <c r="F228" s="6"/>
    </row>
    <row r="229" spans="1:6" x14ac:dyDescent="0.25">
      <c r="A229" s="10">
        <v>1203</v>
      </c>
      <c r="B229" s="10" t="s">
        <v>468</v>
      </c>
      <c r="C229" s="13" t="s">
        <v>469</v>
      </c>
      <c r="D229" s="14">
        <v>0.25</v>
      </c>
      <c r="F229" s="6"/>
    </row>
    <row r="230" spans="1:6" x14ac:dyDescent="0.25">
      <c r="A230" s="10">
        <v>1204</v>
      </c>
      <c r="B230" s="10" t="s">
        <v>470</v>
      </c>
      <c r="C230" s="13" t="s">
        <v>471</v>
      </c>
      <c r="D230" s="14">
        <v>0.25</v>
      </c>
      <c r="F230" s="6"/>
    </row>
    <row r="231" spans="1:6" x14ac:dyDescent="0.25">
      <c r="A231" s="10">
        <v>1205</v>
      </c>
      <c r="B231" s="10" t="s">
        <v>472</v>
      </c>
      <c r="C231" s="13" t="s">
        <v>473</v>
      </c>
      <c r="D231" s="14">
        <v>0.75</v>
      </c>
      <c r="F231" s="6"/>
    </row>
    <row r="232" spans="1:6" x14ac:dyDescent="0.25">
      <c r="A232" s="10">
        <v>1213</v>
      </c>
      <c r="B232" s="10" t="s">
        <v>475</v>
      </c>
      <c r="C232" s="13" t="s">
        <v>476</v>
      </c>
      <c r="D232" s="14">
        <v>0.75</v>
      </c>
      <c r="F232" s="6"/>
    </row>
    <row r="233" spans="1:6" x14ac:dyDescent="0.25">
      <c r="A233" s="10">
        <v>1218</v>
      </c>
      <c r="B233" s="10" t="s">
        <v>477</v>
      </c>
      <c r="C233" s="13" t="s">
        <v>478</v>
      </c>
      <c r="D233" s="14">
        <v>0.25</v>
      </c>
      <c r="F233" s="6"/>
    </row>
    <row r="234" spans="1:6" x14ac:dyDescent="0.25">
      <c r="A234" s="10">
        <v>1219</v>
      </c>
      <c r="B234" s="10" t="s">
        <v>479</v>
      </c>
      <c r="C234" s="13" t="s">
        <v>480</v>
      </c>
      <c r="D234" s="14">
        <v>0.5</v>
      </c>
      <c r="F234" s="6"/>
    </row>
    <row r="235" spans="1:6" x14ac:dyDescent="0.25">
      <c r="A235" s="10">
        <v>1222</v>
      </c>
      <c r="B235" s="10" t="s">
        <v>481</v>
      </c>
      <c r="C235" s="13" t="s">
        <v>482</v>
      </c>
      <c r="D235" s="14">
        <v>0.70000000000000007</v>
      </c>
      <c r="F235" s="6"/>
    </row>
    <row r="236" spans="1:6" x14ac:dyDescent="0.25">
      <c r="A236" s="10">
        <v>1225</v>
      </c>
      <c r="B236" s="10" t="s">
        <v>483</v>
      </c>
      <c r="C236" s="13" t="s">
        <v>484</v>
      </c>
      <c r="D236" s="14">
        <v>0.25</v>
      </c>
      <c r="F236" s="6"/>
    </row>
    <row r="237" spans="1:6" x14ac:dyDescent="0.25">
      <c r="A237" s="10">
        <v>1226</v>
      </c>
      <c r="B237" s="10" t="s">
        <v>485</v>
      </c>
      <c r="C237" s="13" t="s">
        <v>486</v>
      </c>
      <c r="D237" s="14">
        <v>0.25</v>
      </c>
      <c r="F237" s="6"/>
    </row>
    <row r="238" spans="1:6" x14ac:dyDescent="0.25">
      <c r="A238" s="10">
        <v>1234</v>
      </c>
      <c r="B238" s="10" t="s">
        <v>488</v>
      </c>
      <c r="C238" s="13" t="s">
        <v>489</v>
      </c>
      <c r="D238" s="14">
        <v>0.25</v>
      </c>
      <c r="F238" s="6"/>
    </row>
    <row r="239" spans="1:6" x14ac:dyDescent="0.25">
      <c r="A239" s="10">
        <v>1254</v>
      </c>
      <c r="B239" s="10" t="s">
        <v>491</v>
      </c>
      <c r="C239" s="13" t="s">
        <v>492</v>
      </c>
      <c r="D239" s="14">
        <v>0.75</v>
      </c>
      <c r="F239" s="6"/>
    </row>
    <row r="240" spans="1:6" x14ac:dyDescent="0.25">
      <c r="A240" s="10">
        <v>1260</v>
      </c>
      <c r="B240" s="10" t="s">
        <v>494</v>
      </c>
      <c r="C240" s="13" t="s">
        <v>495</v>
      </c>
      <c r="D240" s="14">
        <v>0.75</v>
      </c>
      <c r="F240" s="6"/>
    </row>
    <row r="241" spans="1:6" x14ac:dyDescent="0.25">
      <c r="A241" s="10">
        <v>1270</v>
      </c>
      <c r="B241" s="10" t="s">
        <v>496</v>
      </c>
      <c r="C241" s="13" t="s">
        <v>497</v>
      </c>
      <c r="D241" s="14">
        <v>0.75</v>
      </c>
      <c r="F241" s="6"/>
    </row>
    <row r="242" spans="1:6" x14ac:dyDescent="0.25">
      <c r="A242" s="10">
        <v>1273</v>
      </c>
      <c r="B242" s="10" t="s">
        <v>498</v>
      </c>
      <c r="C242" s="13" t="s">
        <v>499</v>
      </c>
      <c r="D242" s="14">
        <v>0.5</v>
      </c>
      <c r="F242" s="6"/>
    </row>
    <row r="243" spans="1:6" x14ac:dyDescent="0.25">
      <c r="A243" s="10">
        <v>1274</v>
      </c>
      <c r="B243" s="10" t="s">
        <v>500</v>
      </c>
      <c r="C243" s="13" t="s">
        <v>501</v>
      </c>
      <c r="D243" s="14">
        <v>0.25</v>
      </c>
      <c r="F243" s="6"/>
    </row>
    <row r="244" spans="1:6" x14ac:dyDescent="0.25">
      <c r="A244" s="10">
        <v>1276</v>
      </c>
      <c r="B244" s="10" t="s">
        <v>502</v>
      </c>
      <c r="C244" s="13" t="s">
        <v>503</v>
      </c>
      <c r="D244" s="14">
        <v>0.75</v>
      </c>
      <c r="F244" s="6"/>
    </row>
    <row r="245" spans="1:6" x14ac:dyDescent="0.25">
      <c r="A245" s="10">
        <v>1277</v>
      </c>
      <c r="B245" s="10" t="s">
        <v>504</v>
      </c>
      <c r="C245" s="13" t="s">
        <v>505</v>
      </c>
      <c r="D245" s="14">
        <v>0.5</v>
      </c>
      <c r="F245" s="6"/>
    </row>
    <row r="246" spans="1:6" x14ac:dyDescent="0.25">
      <c r="A246" s="10">
        <v>1278</v>
      </c>
      <c r="B246" s="10" t="s">
        <v>506</v>
      </c>
      <c r="C246" s="13" t="s">
        <v>507</v>
      </c>
      <c r="D246" s="14">
        <v>0.25</v>
      </c>
      <c r="F246" s="6"/>
    </row>
    <row r="247" spans="1:6" x14ac:dyDescent="0.25">
      <c r="A247" s="10">
        <v>1282</v>
      </c>
      <c r="B247" s="10" t="s">
        <v>508</v>
      </c>
      <c r="C247" s="13" t="s">
        <v>509</v>
      </c>
      <c r="D247" s="14">
        <v>0.5</v>
      </c>
      <c r="F247" s="6"/>
    </row>
    <row r="248" spans="1:6" x14ac:dyDescent="0.25">
      <c r="A248" s="10">
        <v>1284</v>
      </c>
      <c r="B248" s="10" t="s">
        <v>510</v>
      </c>
      <c r="C248" s="13" t="s">
        <v>511</v>
      </c>
      <c r="D248" s="14">
        <v>0.25</v>
      </c>
      <c r="F248" s="6"/>
    </row>
    <row r="249" spans="1:6" x14ac:dyDescent="0.25">
      <c r="A249" s="10">
        <v>1285</v>
      </c>
      <c r="B249" s="10" t="s">
        <v>512</v>
      </c>
      <c r="C249" s="13" t="s">
        <v>513</v>
      </c>
      <c r="D249" s="14">
        <v>0.25</v>
      </c>
      <c r="F249" s="6"/>
    </row>
    <row r="250" spans="1:6" x14ac:dyDescent="0.25">
      <c r="A250" s="10">
        <v>1320</v>
      </c>
      <c r="B250" s="10" t="s">
        <v>515</v>
      </c>
      <c r="C250" s="13" t="s">
        <v>516</v>
      </c>
      <c r="D250" s="14">
        <v>0.25</v>
      </c>
      <c r="F250" s="6"/>
    </row>
    <row r="251" spans="1:6" x14ac:dyDescent="0.25">
      <c r="A251" s="10">
        <v>1325</v>
      </c>
      <c r="B251" s="10" t="s">
        <v>517</v>
      </c>
      <c r="C251" s="13" t="s">
        <v>518</v>
      </c>
      <c r="D251" s="14">
        <v>0.5</v>
      </c>
      <c r="F251" s="6"/>
    </row>
    <row r="252" spans="1:6" x14ac:dyDescent="0.25">
      <c r="A252" s="10">
        <v>1327</v>
      </c>
      <c r="B252" s="10" t="s">
        <v>519</v>
      </c>
      <c r="C252" s="13" t="s">
        <v>520</v>
      </c>
      <c r="D252" s="14">
        <v>1</v>
      </c>
      <c r="F252" s="6"/>
    </row>
    <row r="253" spans="1:6" x14ac:dyDescent="0.25">
      <c r="A253" s="10">
        <v>1504</v>
      </c>
      <c r="B253" s="10" t="s">
        <v>522</v>
      </c>
      <c r="C253" s="13" t="s">
        <v>523</v>
      </c>
      <c r="D253" s="14">
        <v>0.25</v>
      </c>
      <c r="F253" s="6"/>
    </row>
    <row r="254" spans="1:6" x14ac:dyDescent="0.25">
      <c r="A254" s="10">
        <v>1508</v>
      </c>
      <c r="B254" s="10" t="s">
        <v>524</v>
      </c>
      <c r="C254" s="13" t="s">
        <v>525</v>
      </c>
      <c r="D254" s="14">
        <v>0.25</v>
      </c>
      <c r="F254" s="6"/>
    </row>
    <row r="255" spans="1:6" x14ac:dyDescent="0.25">
      <c r="A255" s="10">
        <v>1517</v>
      </c>
      <c r="B255" s="10" t="s">
        <v>526</v>
      </c>
      <c r="C255" s="13" t="s">
        <v>527</v>
      </c>
      <c r="D255" s="14">
        <v>1.25</v>
      </c>
      <c r="F255" s="6"/>
    </row>
    <row r="256" spans="1:6" x14ac:dyDescent="0.25">
      <c r="A256" s="10">
        <v>1518</v>
      </c>
      <c r="B256" s="10" t="s">
        <v>528</v>
      </c>
      <c r="C256" s="13" t="s">
        <v>529</v>
      </c>
      <c r="D256" s="14">
        <v>0.25</v>
      </c>
      <c r="F256" s="6"/>
    </row>
    <row r="257" spans="1:6" x14ac:dyDescent="0.25">
      <c r="A257" s="10">
        <v>1524</v>
      </c>
      <c r="B257" s="10" t="s">
        <v>531</v>
      </c>
      <c r="C257" s="13" t="s">
        <v>532</v>
      </c>
      <c r="D257" s="14">
        <v>0.2</v>
      </c>
      <c r="F257" s="6"/>
    </row>
    <row r="258" spans="1:6" x14ac:dyDescent="0.25">
      <c r="A258" s="10">
        <v>1526</v>
      </c>
      <c r="B258" s="10" t="s">
        <v>533</v>
      </c>
      <c r="C258" s="13" t="s">
        <v>534</v>
      </c>
      <c r="D258" s="14">
        <v>1.25</v>
      </c>
      <c r="F258" s="6"/>
    </row>
    <row r="259" spans="1:6" x14ac:dyDescent="0.25">
      <c r="A259" s="10">
        <v>1527</v>
      </c>
      <c r="B259" s="10" t="s">
        <v>535</v>
      </c>
      <c r="C259" s="13" t="s">
        <v>536</v>
      </c>
      <c r="D259" s="14">
        <v>1</v>
      </c>
      <c r="F259" s="6"/>
    </row>
    <row r="260" spans="1:6" x14ac:dyDescent="0.25">
      <c r="A260" s="10">
        <v>1530</v>
      </c>
      <c r="B260" s="10" t="s">
        <v>537</v>
      </c>
      <c r="C260" s="13" t="s">
        <v>538</v>
      </c>
      <c r="D260" s="14">
        <v>0.25</v>
      </c>
      <c r="F260" s="6"/>
    </row>
    <row r="261" spans="1:6" x14ac:dyDescent="0.25">
      <c r="A261" s="10">
        <v>1533</v>
      </c>
      <c r="B261" s="10" t="s">
        <v>539</v>
      </c>
      <c r="C261" s="13" t="s">
        <v>540</v>
      </c>
      <c r="D261" s="14">
        <v>0.25</v>
      </c>
      <c r="F261" s="6"/>
    </row>
    <row r="262" spans="1:6" x14ac:dyDescent="0.25">
      <c r="A262" s="10">
        <v>1535</v>
      </c>
      <c r="B262" s="10" t="s">
        <v>541</v>
      </c>
      <c r="C262" s="13" t="s">
        <v>542</v>
      </c>
      <c r="D262" s="14">
        <v>1</v>
      </c>
      <c r="F262" s="6"/>
    </row>
    <row r="263" spans="1:6" x14ac:dyDescent="0.25">
      <c r="A263" s="10">
        <v>1538</v>
      </c>
      <c r="B263" s="10" t="s">
        <v>544</v>
      </c>
      <c r="C263" s="13" t="s">
        <v>545</v>
      </c>
      <c r="D263" s="14">
        <v>0.5</v>
      </c>
      <c r="F263" s="6"/>
    </row>
    <row r="264" spans="1:6" x14ac:dyDescent="0.25">
      <c r="A264" s="10">
        <v>1543</v>
      </c>
      <c r="B264" s="10" t="s">
        <v>547</v>
      </c>
      <c r="C264" s="13" t="s">
        <v>548</v>
      </c>
      <c r="D264" s="14">
        <v>0.25</v>
      </c>
      <c r="F264" s="6"/>
    </row>
    <row r="265" spans="1:6" x14ac:dyDescent="0.25">
      <c r="A265" s="10">
        <v>1544</v>
      </c>
      <c r="B265" s="10" t="s">
        <v>549</v>
      </c>
      <c r="C265" s="13" t="s">
        <v>550</v>
      </c>
      <c r="D265" s="14">
        <v>0.5</v>
      </c>
      <c r="F265" s="6"/>
    </row>
    <row r="266" spans="1:6" x14ac:dyDescent="0.25">
      <c r="A266" s="10">
        <v>1546</v>
      </c>
      <c r="B266" s="10" t="s">
        <v>551</v>
      </c>
      <c r="C266" s="13" t="s">
        <v>552</v>
      </c>
      <c r="D266" s="14">
        <v>1</v>
      </c>
      <c r="F266" s="6"/>
    </row>
    <row r="267" spans="1:6" x14ac:dyDescent="0.25">
      <c r="A267" s="10">
        <v>1551</v>
      </c>
      <c r="B267" s="10" t="s">
        <v>553</v>
      </c>
      <c r="C267" s="13" t="s">
        <v>554</v>
      </c>
      <c r="D267" s="14">
        <v>0.5</v>
      </c>
      <c r="F267" s="6"/>
    </row>
    <row r="268" spans="1:6" x14ac:dyDescent="0.25">
      <c r="A268" s="10">
        <v>1553</v>
      </c>
      <c r="B268" s="10" t="s">
        <v>957</v>
      </c>
      <c r="C268" s="13" t="s">
        <v>898</v>
      </c>
      <c r="D268" s="14">
        <v>0.5</v>
      </c>
      <c r="F268" s="6"/>
    </row>
    <row r="269" spans="1:6" x14ac:dyDescent="0.25">
      <c r="A269" s="10">
        <v>1560</v>
      </c>
      <c r="B269" s="10" t="s">
        <v>556</v>
      </c>
      <c r="C269" s="13" t="s">
        <v>557</v>
      </c>
      <c r="D269" s="14">
        <v>0.25</v>
      </c>
      <c r="F269" s="6"/>
    </row>
    <row r="270" spans="1:6" x14ac:dyDescent="0.25">
      <c r="A270" s="10">
        <v>1562</v>
      </c>
      <c r="B270" s="10" t="s">
        <v>558</v>
      </c>
      <c r="C270" s="13" t="s">
        <v>559</v>
      </c>
      <c r="D270" s="14">
        <v>1</v>
      </c>
      <c r="F270" s="6"/>
    </row>
    <row r="271" spans="1:6" x14ac:dyDescent="0.25">
      <c r="A271" s="10">
        <v>1563</v>
      </c>
      <c r="B271" s="10" t="s">
        <v>560</v>
      </c>
      <c r="C271" s="13" t="s">
        <v>561</v>
      </c>
      <c r="D271" s="14">
        <v>0.25</v>
      </c>
      <c r="F271" s="6"/>
    </row>
    <row r="272" spans="1:6" x14ac:dyDescent="0.25">
      <c r="A272" s="10">
        <v>1567</v>
      </c>
      <c r="B272" s="10" t="s">
        <v>562</v>
      </c>
      <c r="C272" s="13" t="s">
        <v>563</v>
      </c>
      <c r="D272" s="14">
        <v>0.5</v>
      </c>
      <c r="F272" s="6"/>
    </row>
    <row r="273" spans="1:6" x14ac:dyDescent="0.25">
      <c r="A273" s="10">
        <v>1568</v>
      </c>
      <c r="B273" s="10" t="s">
        <v>564</v>
      </c>
      <c r="C273" s="13" t="s">
        <v>565</v>
      </c>
      <c r="D273" s="14">
        <v>0.25</v>
      </c>
      <c r="F273" s="6"/>
    </row>
    <row r="274" spans="1:6" x14ac:dyDescent="0.25">
      <c r="A274" s="10">
        <v>1569</v>
      </c>
      <c r="B274" s="10" t="s">
        <v>566</v>
      </c>
      <c r="C274" s="13" t="s">
        <v>567</v>
      </c>
      <c r="D274" s="14">
        <v>0.5</v>
      </c>
      <c r="F274" s="6"/>
    </row>
    <row r="275" spans="1:6" x14ac:dyDescent="0.25">
      <c r="A275" s="10">
        <v>1576</v>
      </c>
      <c r="B275" s="10" t="s">
        <v>958</v>
      </c>
      <c r="C275" s="13" t="s">
        <v>899</v>
      </c>
      <c r="D275" s="14">
        <v>0.5</v>
      </c>
      <c r="F275" s="6"/>
    </row>
    <row r="276" spans="1:6" x14ac:dyDescent="0.25">
      <c r="A276" s="10">
        <v>1600</v>
      </c>
      <c r="B276" s="10" t="s">
        <v>569</v>
      </c>
      <c r="C276" s="13" t="s">
        <v>570</v>
      </c>
      <c r="D276" s="14">
        <v>0.25</v>
      </c>
      <c r="F276" s="6"/>
    </row>
    <row r="277" spans="1:6" x14ac:dyDescent="0.25">
      <c r="A277" s="10">
        <v>1601</v>
      </c>
      <c r="B277" s="10" t="s">
        <v>571</v>
      </c>
      <c r="C277" s="13" t="s">
        <v>572</v>
      </c>
      <c r="D277" s="14">
        <v>0.75</v>
      </c>
      <c r="F277" s="6"/>
    </row>
    <row r="278" spans="1:6" x14ac:dyDescent="0.25">
      <c r="A278" s="10">
        <v>1602</v>
      </c>
      <c r="B278" s="10" t="s">
        <v>959</v>
      </c>
      <c r="C278" s="13" t="s">
        <v>900</v>
      </c>
      <c r="D278" s="14">
        <v>0.5</v>
      </c>
      <c r="F278" s="6"/>
    </row>
    <row r="279" spans="1:6" x14ac:dyDescent="0.25">
      <c r="A279" s="10">
        <v>1603</v>
      </c>
      <c r="B279" s="10" t="s">
        <v>960</v>
      </c>
      <c r="C279" s="13" t="s">
        <v>901</v>
      </c>
      <c r="D279" s="14">
        <v>0.5</v>
      </c>
      <c r="F279" s="6"/>
    </row>
    <row r="280" spans="1:6" x14ac:dyDescent="0.25">
      <c r="A280" s="10">
        <v>1604</v>
      </c>
      <c r="B280" s="10" t="s">
        <v>573</v>
      </c>
      <c r="C280" s="13" t="s">
        <v>574</v>
      </c>
      <c r="D280" s="14">
        <v>1.25</v>
      </c>
      <c r="F280" s="6"/>
    </row>
    <row r="281" spans="1:6" x14ac:dyDescent="0.25">
      <c r="A281" s="10">
        <v>1608</v>
      </c>
      <c r="B281" s="10" t="s">
        <v>575</v>
      </c>
      <c r="C281" s="13" t="s">
        <v>576</v>
      </c>
      <c r="D281" s="14">
        <v>0.25</v>
      </c>
      <c r="F281" s="6"/>
    </row>
    <row r="282" spans="1:6" x14ac:dyDescent="0.25">
      <c r="A282" s="10">
        <v>1610</v>
      </c>
      <c r="B282" s="10" t="s">
        <v>577</v>
      </c>
      <c r="C282" s="13" t="s">
        <v>578</v>
      </c>
      <c r="D282" s="14">
        <v>0.25</v>
      </c>
      <c r="F282" s="6"/>
    </row>
    <row r="283" spans="1:6" x14ac:dyDescent="0.25">
      <c r="A283" s="10">
        <v>1615</v>
      </c>
      <c r="B283" s="10" t="s">
        <v>579</v>
      </c>
      <c r="C283" s="13" t="s">
        <v>580</v>
      </c>
      <c r="D283" s="14">
        <v>0.25</v>
      </c>
      <c r="F283" s="6"/>
    </row>
    <row r="284" spans="1:6" x14ac:dyDescent="0.25">
      <c r="A284" s="10">
        <v>1632</v>
      </c>
      <c r="B284" s="10" t="s">
        <v>581</v>
      </c>
      <c r="C284" s="13" t="s">
        <v>582</v>
      </c>
      <c r="D284" s="14">
        <v>0.25</v>
      </c>
      <c r="F284" s="6"/>
    </row>
    <row r="285" spans="1:6" x14ac:dyDescent="0.25">
      <c r="A285" s="10">
        <v>1700</v>
      </c>
      <c r="B285" s="10" t="s">
        <v>584</v>
      </c>
      <c r="C285" s="13" t="s">
        <v>585</v>
      </c>
      <c r="D285" s="14">
        <v>1</v>
      </c>
      <c r="F285" s="6"/>
    </row>
    <row r="286" spans="1:6" x14ac:dyDescent="0.25">
      <c r="A286" s="10">
        <v>1704</v>
      </c>
      <c r="B286" s="10" t="s">
        <v>588</v>
      </c>
      <c r="C286" s="13" t="s">
        <v>589</v>
      </c>
      <c r="D286" s="14">
        <v>0.25</v>
      </c>
      <c r="F286" s="6"/>
    </row>
    <row r="287" spans="1:6" x14ac:dyDescent="0.25">
      <c r="A287" s="10">
        <v>1706</v>
      </c>
      <c r="B287" s="10" t="s">
        <v>590</v>
      </c>
      <c r="C287" s="13" t="s">
        <v>591</v>
      </c>
      <c r="D287" s="14">
        <v>1</v>
      </c>
      <c r="F287" s="6"/>
    </row>
    <row r="288" spans="1:6" x14ac:dyDescent="0.25">
      <c r="A288" s="10">
        <v>1717</v>
      </c>
      <c r="B288" s="10" t="s">
        <v>961</v>
      </c>
      <c r="C288" s="13" t="s">
        <v>902</v>
      </c>
      <c r="D288" s="14">
        <v>0.25</v>
      </c>
      <c r="F288" s="6"/>
    </row>
    <row r="289" spans="1:6" x14ac:dyDescent="0.25">
      <c r="A289" s="10">
        <v>1720</v>
      </c>
      <c r="B289" s="10" t="s">
        <v>593</v>
      </c>
      <c r="C289" s="13" t="s">
        <v>594</v>
      </c>
      <c r="D289" s="14">
        <v>0.25</v>
      </c>
      <c r="F289" s="6"/>
    </row>
    <row r="290" spans="1:6" x14ac:dyDescent="0.25">
      <c r="A290" s="10">
        <v>1724</v>
      </c>
      <c r="B290" s="10" t="s">
        <v>595</v>
      </c>
      <c r="C290" s="13" t="s">
        <v>596</v>
      </c>
      <c r="D290" s="14">
        <v>2</v>
      </c>
      <c r="F290" s="6"/>
    </row>
    <row r="291" spans="1:6" x14ac:dyDescent="0.25">
      <c r="A291" s="10">
        <v>1727</v>
      </c>
      <c r="B291" s="10" t="s">
        <v>597</v>
      </c>
      <c r="C291" s="13" t="s">
        <v>598</v>
      </c>
      <c r="D291" s="14">
        <v>1</v>
      </c>
      <c r="F291" s="6"/>
    </row>
    <row r="292" spans="1:6" x14ac:dyDescent="0.25">
      <c r="A292" s="10">
        <v>1729</v>
      </c>
      <c r="B292" s="10" t="s">
        <v>599</v>
      </c>
      <c r="C292" s="13" t="s">
        <v>600</v>
      </c>
      <c r="D292" s="14">
        <v>0.25</v>
      </c>
      <c r="F292" s="6"/>
    </row>
    <row r="293" spans="1:6" x14ac:dyDescent="0.25">
      <c r="A293" s="10">
        <v>1733</v>
      </c>
      <c r="B293" s="10" t="s">
        <v>601</v>
      </c>
      <c r="C293" s="13" t="s">
        <v>602</v>
      </c>
      <c r="D293" s="14">
        <v>0.25</v>
      </c>
      <c r="F293" s="6"/>
    </row>
    <row r="294" spans="1:6" x14ac:dyDescent="0.25">
      <c r="A294" s="10">
        <v>1737</v>
      </c>
      <c r="B294" s="10" t="s">
        <v>603</v>
      </c>
      <c r="C294" s="13" t="s">
        <v>604</v>
      </c>
      <c r="D294" s="14">
        <v>0.25</v>
      </c>
      <c r="F294" s="6"/>
    </row>
    <row r="295" spans="1:6" x14ac:dyDescent="0.25">
      <c r="A295" s="10">
        <v>1740</v>
      </c>
      <c r="B295" s="10" t="s">
        <v>605</v>
      </c>
      <c r="C295" s="13" t="s">
        <v>606</v>
      </c>
      <c r="D295" s="14">
        <v>0.5</v>
      </c>
      <c r="F295" s="6"/>
    </row>
    <row r="296" spans="1:6" x14ac:dyDescent="0.25">
      <c r="A296" s="10">
        <v>1751</v>
      </c>
      <c r="B296" s="10" t="s">
        <v>607</v>
      </c>
      <c r="C296" s="13" t="s">
        <v>608</v>
      </c>
      <c r="D296" s="14">
        <v>0.5</v>
      </c>
      <c r="F296" s="6"/>
    </row>
    <row r="297" spans="1:6" x14ac:dyDescent="0.25">
      <c r="A297" s="10">
        <v>1752</v>
      </c>
      <c r="B297" s="10" t="s">
        <v>609</v>
      </c>
      <c r="C297" s="13" t="s">
        <v>610</v>
      </c>
      <c r="D297" s="14">
        <v>0.25</v>
      </c>
      <c r="F297" s="6"/>
    </row>
    <row r="298" spans="1:6" x14ac:dyDescent="0.25">
      <c r="A298" s="10">
        <v>1753</v>
      </c>
      <c r="B298" s="10" t="s">
        <v>611</v>
      </c>
      <c r="C298" s="13" t="s">
        <v>612</v>
      </c>
      <c r="D298" s="14">
        <v>0.5</v>
      </c>
      <c r="F298" s="6"/>
    </row>
    <row r="299" spans="1:6" x14ac:dyDescent="0.25">
      <c r="A299" s="10">
        <v>1755</v>
      </c>
      <c r="B299" s="10" t="s">
        <v>613</v>
      </c>
      <c r="C299" s="13" t="s">
        <v>614</v>
      </c>
      <c r="D299" s="14">
        <v>0.75</v>
      </c>
      <c r="F299" s="6"/>
    </row>
    <row r="300" spans="1:6" x14ac:dyDescent="0.25">
      <c r="A300" s="10">
        <v>1756</v>
      </c>
      <c r="B300" s="10" t="s">
        <v>615</v>
      </c>
      <c r="C300" s="13" t="s">
        <v>616</v>
      </c>
      <c r="D300" s="14">
        <v>0.25</v>
      </c>
      <c r="F300" s="6"/>
    </row>
    <row r="301" spans="1:6" x14ac:dyDescent="0.25">
      <c r="A301" s="10">
        <v>1758</v>
      </c>
      <c r="B301" s="10" t="s">
        <v>617</v>
      </c>
      <c r="C301" s="13" t="s">
        <v>618</v>
      </c>
      <c r="D301" s="14">
        <v>0.25</v>
      </c>
      <c r="F301" s="6"/>
    </row>
    <row r="302" spans="1:6" x14ac:dyDescent="0.25">
      <c r="A302" s="10">
        <v>1762</v>
      </c>
      <c r="B302" s="10" t="s">
        <v>621</v>
      </c>
      <c r="C302" s="13" t="s">
        <v>622</v>
      </c>
      <c r="D302" s="14">
        <v>0.25</v>
      </c>
      <c r="F302" s="6"/>
    </row>
    <row r="303" spans="1:6" x14ac:dyDescent="0.25">
      <c r="A303" s="10">
        <v>1765</v>
      </c>
      <c r="B303" s="10" t="s">
        <v>623</v>
      </c>
      <c r="C303" s="13" t="s">
        <v>624</v>
      </c>
      <c r="D303" s="14">
        <v>0.25</v>
      </c>
      <c r="F303" s="6"/>
    </row>
    <row r="304" spans="1:6" x14ac:dyDescent="0.25">
      <c r="A304" s="10">
        <v>1766</v>
      </c>
      <c r="B304" s="10" t="s">
        <v>625</v>
      </c>
      <c r="C304" s="13" t="s">
        <v>626</v>
      </c>
      <c r="D304" s="14">
        <v>0.25</v>
      </c>
      <c r="F304" s="6"/>
    </row>
    <row r="305" spans="1:6" x14ac:dyDescent="0.25">
      <c r="A305" s="10">
        <v>1773</v>
      </c>
      <c r="B305" s="10" t="s">
        <v>628</v>
      </c>
      <c r="C305" s="13" t="s">
        <v>629</v>
      </c>
      <c r="D305" s="14">
        <v>3.25</v>
      </c>
      <c r="F305" s="6"/>
    </row>
    <row r="306" spans="1:6" x14ac:dyDescent="0.25">
      <c r="A306" s="10">
        <v>1775</v>
      </c>
      <c r="B306" s="10" t="s">
        <v>630</v>
      </c>
      <c r="C306" s="13" t="s">
        <v>631</v>
      </c>
      <c r="D306" s="14">
        <v>0.5</v>
      </c>
      <c r="F306" s="6"/>
    </row>
    <row r="307" spans="1:6" x14ac:dyDescent="0.25">
      <c r="A307" s="10">
        <v>1780</v>
      </c>
      <c r="B307" s="10" t="s">
        <v>633</v>
      </c>
      <c r="C307" s="13" t="s">
        <v>634</v>
      </c>
      <c r="D307" s="14">
        <v>0.25</v>
      </c>
      <c r="F307" s="6"/>
    </row>
    <row r="308" spans="1:6" x14ac:dyDescent="0.25">
      <c r="A308" s="10">
        <v>1786</v>
      </c>
      <c r="B308" s="10" t="s">
        <v>636</v>
      </c>
      <c r="C308" s="13" t="s">
        <v>637</v>
      </c>
      <c r="D308" s="14">
        <v>2</v>
      </c>
      <c r="F308" s="6"/>
    </row>
    <row r="309" spans="1:6" x14ac:dyDescent="0.25">
      <c r="A309" s="10">
        <v>1789</v>
      </c>
      <c r="B309" s="10" t="s">
        <v>962</v>
      </c>
      <c r="C309" s="13" t="s">
        <v>903</v>
      </c>
      <c r="D309" s="14">
        <v>0.25</v>
      </c>
      <c r="F309" s="6"/>
    </row>
    <row r="310" spans="1:6" x14ac:dyDescent="0.25">
      <c r="A310" s="10">
        <v>1799</v>
      </c>
      <c r="B310" s="10" t="s">
        <v>963</v>
      </c>
      <c r="C310" s="13" t="s">
        <v>904</v>
      </c>
      <c r="D310" s="14">
        <v>0.5</v>
      </c>
      <c r="F310" s="6"/>
    </row>
    <row r="311" spans="1:6" x14ac:dyDescent="0.25">
      <c r="A311" s="10">
        <v>1800</v>
      </c>
      <c r="B311" s="10" t="s">
        <v>640</v>
      </c>
      <c r="C311" s="13" t="s">
        <v>641</v>
      </c>
      <c r="D311" s="14">
        <v>1</v>
      </c>
      <c r="F311" s="6"/>
    </row>
    <row r="312" spans="1:6" x14ac:dyDescent="0.25">
      <c r="A312" s="10">
        <v>1801</v>
      </c>
      <c r="B312" s="10" t="s">
        <v>642</v>
      </c>
      <c r="C312" s="13" t="s">
        <v>643</v>
      </c>
      <c r="D312" s="14">
        <v>0.75</v>
      </c>
      <c r="F312" s="6"/>
    </row>
    <row r="313" spans="1:6" x14ac:dyDescent="0.25">
      <c r="A313" s="10">
        <v>1802</v>
      </c>
      <c r="B313" s="10" t="s">
        <v>644</v>
      </c>
      <c r="C313" s="13" t="s">
        <v>645</v>
      </c>
      <c r="D313" s="14">
        <v>0.25</v>
      </c>
      <c r="F313" s="6"/>
    </row>
    <row r="314" spans="1:6" x14ac:dyDescent="0.25">
      <c r="A314" s="10">
        <v>1803</v>
      </c>
      <c r="B314" s="10" t="s">
        <v>646</v>
      </c>
      <c r="C314" s="13" t="s">
        <v>647</v>
      </c>
      <c r="D314" s="14">
        <v>0.25</v>
      </c>
      <c r="F314" s="6"/>
    </row>
    <row r="315" spans="1:6" x14ac:dyDescent="0.25">
      <c r="A315" s="10">
        <v>1808</v>
      </c>
      <c r="B315" s="10" t="s">
        <v>649</v>
      </c>
      <c r="C315" s="13" t="s">
        <v>650</v>
      </c>
      <c r="D315" s="14">
        <v>1</v>
      </c>
      <c r="F315" s="6"/>
    </row>
    <row r="316" spans="1:6" x14ac:dyDescent="0.25">
      <c r="A316" s="10">
        <v>1812</v>
      </c>
      <c r="B316" s="10" t="s">
        <v>651</v>
      </c>
      <c r="C316" s="13" t="s">
        <v>652</v>
      </c>
      <c r="D316" s="14">
        <v>0.25</v>
      </c>
      <c r="F316" s="6"/>
    </row>
    <row r="317" spans="1:6" x14ac:dyDescent="0.25">
      <c r="A317" s="10">
        <v>1817</v>
      </c>
      <c r="B317" s="10" t="s">
        <v>653</v>
      </c>
      <c r="C317" s="13" t="s">
        <v>654</v>
      </c>
      <c r="D317" s="14">
        <v>0.25</v>
      </c>
      <c r="F317" s="6"/>
    </row>
    <row r="318" spans="1:6" x14ac:dyDescent="0.25">
      <c r="A318" s="10">
        <v>1819</v>
      </c>
      <c r="B318" s="10" t="s">
        <v>655</v>
      </c>
      <c r="C318" s="13" t="s">
        <v>656</v>
      </c>
      <c r="D318" s="14">
        <v>0.25</v>
      </c>
      <c r="F318" s="6"/>
    </row>
    <row r="319" spans="1:6" x14ac:dyDescent="0.25">
      <c r="A319" s="10">
        <v>1820</v>
      </c>
      <c r="B319" s="10" t="s">
        <v>657</v>
      </c>
      <c r="C319" s="13" t="s">
        <v>658</v>
      </c>
      <c r="D319" s="14">
        <v>0.25</v>
      </c>
      <c r="F319" s="6"/>
    </row>
    <row r="320" spans="1:6" x14ac:dyDescent="0.25">
      <c r="A320" s="10">
        <v>2197</v>
      </c>
      <c r="B320" s="10" t="s">
        <v>660</v>
      </c>
      <c r="C320" s="13" t="s">
        <v>661</v>
      </c>
      <c r="D320" s="14">
        <v>0.5</v>
      </c>
      <c r="F320" s="6"/>
    </row>
    <row r="321" spans="1:6" x14ac:dyDescent="0.25">
      <c r="A321" s="10">
        <v>2240</v>
      </c>
      <c r="B321" s="10" t="s">
        <v>663</v>
      </c>
      <c r="C321" s="13" t="s">
        <v>664</v>
      </c>
      <c r="D321" s="14">
        <v>0.25</v>
      </c>
      <c r="F321" s="6"/>
    </row>
    <row r="322" spans="1:6" x14ac:dyDescent="0.25">
      <c r="A322" s="10">
        <v>2242</v>
      </c>
      <c r="B322" s="10" t="s">
        <v>665</v>
      </c>
      <c r="C322" s="13" t="s">
        <v>666</v>
      </c>
      <c r="D322" s="14">
        <v>0.25</v>
      </c>
      <c r="F322" s="6"/>
    </row>
    <row r="323" spans="1:6" x14ac:dyDescent="0.25">
      <c r="A323" s="10">
        <v>2243</v>
      </c>
      <c r="B323" s="10" t="s">
        <v>667</v>
      </c>
      <c r="C323" s="13" t="s">
        <v>668</v>
      </c>
      <c r="D323" s="14">
        <v>0.25</v>
      </c>
      <c r="F323" s="6"/>
    </row>
    <row r="324" spans="1:6" x14ac:dyDescent="0.25">
      <c r="A324" s="10">
        <v>2256</v>
      </c>
      <c r="B324" s="10" t="s">
        <v>669</v>
      </c>
      <c r="C324" s="13" t="s">
        <v>670</v>
      </c>
      <c r="D324" s="14">
        <v>0.70000000000000007</v>
      </c>
      <c r="F324" s="6"/>
    </row>
    <row r="325" spans="1:6" x14ac:dyDescent="0.25">
      <c r="A325" s="10">
        <v>2287</v>
      </c>
      <c r="B325" s="10" t="s">
        <v>964</v>
      </c>
      <c r="C325" s="13" t="s">
        <v>905</v>
      </c>
      <c r="D325" s="14">
        <v>0.25</v>
      </c>
      <c r="F325" s="6"/>
    </row>
    <row r="326" spans="1:6" x14ac:dyDescent="0.25">
      <c r="A326" s="10">
        <v>2297</v>
      </c>
      <c r="B326" s="10" t="s">
        <v>965</v>
      </c>
      <c r="C326" s="13" t="s">
        <v>906</v>
      </c>
      <c r="D326" s="14">
        <v>0.25</v>
      </c>
      <c r="F326" s="6"/>
    </row>
    <row r="327" spans="1:6" x14ac:dyDescent="0.25">
      <c r="A327" s="10">
        <v>2298</v>
      </c>
      <c r="B327" s="10" t="s">
        <v>671</v>
      </c>
      <c r="C327" s="13" t="s">
        <v>672</v>
      </c>
      <c r="D327" s="14">
        <v>0.35000000000000003</v>
      </c>
      <c r="F327" s="6"/>
    </row>
    <row r="328" spans="1:6" x14ac:dyDescent="0.25">
      <c r="A328" s="10">
        <v>2302</v>
      </c>
      <c r="B328" s="10" t="s">
        <v>673</v>
      </c>
      <c r="C328" s="13" t="s">
        <v>674</v>
      </c>
      <c r="D328" s="14">
        <v>0.5</v>
      </c>
      <c r="F328" s="6"/>
    </row>
    <row r="329" spans="1:6" x14ac:dyDescent="0.25">
      <c r="A329" s="10">
        <v>2308</v>
      </c>
      <c r="B329" s="10" t="s">
        <v>676</v>
      </c>
      <c r="C329" s="13" t="s">
        <v>677</v>
      </c>
      <c r="D329" s="14">
        <v>0.5</v>
      </c>
      <c r="F329" s="6"/>
    </row>
    <row r="330" spans="1:6" x14ac:dyDescent="0.25">
      <c r="A330" s="10">
        <v>2350</v>
      </c>
      <c r="B330" s="10" t="s">
        <v>679</v>
      </c>
      <c r="C330" s="13" t="s">
        <v>680</v>
      </c>
      <c r="D330" s="14">
        <v>1</v>
      </c>
      <c r="F330" s="6"/>
    </row>
    <row r="331" spans="1:6" x14ac:dyDescent="0.25">
      <c r="A331" s="10">
        <v>2352</v>
      </c>
      <c r="B331" s="10" t="s">
        <v>681</v>
      </c>
      <c r="C331" s="13" t="s">
        <v>682</v>
      </c>
      <c r="D331" s="14">
        <v>0.75</v>
      </c>
      <c r="F331" s="6"/>
    </row>
    <row r="332" spans="1:6" x14ac:dyDescent="0.25">
      <c r="A332" s="10">
        <v>2382</v>
      </c>
      <c r="B332" s="10" t="s">
        <v>684</v>
      </c>
      <c r="C332" s="13" t="s">
        <v>685</v>
      </c>
      <c r="D332" s="14">
        <v>0.25</v>
      </c>
      <c r="F332" s="6"/>
    </row>
    <row r="333" spans="1:6" x14ac:dyDescent="0.25">
      <c r="A333" s="10">
        <v>2390</v>
      </c>
      <c r="B333" s="10" t="s">
        <v>686</v>
      </c>
      <c r="C333" s="13" t="s">
        <v>687</v>
      </c>
      <c r="D333" s="14">
        <v>0.75</v>
      </c>
      <c r="F333" s="6"/>
    </row>
    <row r="334" spans="1:6" x14ac:dyDescent="0.25">
      <c r="A334" s="10">
        <v>2409</v>
      </c>
      <c r="B334" s="10" t="s">
        <v>966</v>
      </c>
      <c r="C334" s="13" t="s">
        <v>907</v>
      </c>
      <c r="D334" s="14">
        <v>3</v>
      </c>
      <c r="F334" s="6"/>
    </row>
    <row r="335" spans="1:6" x14ac:dyDescent="0.25">
      <c r="A335" s="10">
        <v>2413</v>
      </c>
      <c r="B335" s="10" t="s">
        <v>688</v>
      </c>
      <c r="C335" s="13" t="s">
        <v>689</v>
      </c>
      <c r="D335" s="14">
        <v>0.75</v>
      </c>
      <c r="F335" s="6"/>
    </row>
    <row r="336" spans="1:6" x14ac:dyDescent="0.25">
      <c r="A336" s="10">
        <v>2422</v>
      </c>
      <c r="B336" s="10" t="s">
        <v>967</v>
      </c>
      <c r="C336" s="13" t="s">
        <v>908</v>
      </c>
      <c r="D336" s="14">
        <v>0.5</v>
      </c>
      <c r="F336" s="6"/>
    </row>
    <row r="337" spans="1:6" x14ac:dyDescent="0.25">
      <c r="A337" s="10">
        <v>2426</v>
      </c>
      <c r="B337" s="10" t="s">
        <v>690</v>
      </c>
      <c r="C337" s="13" t="s">
        <v>691</v>
      </c>
      <c r="D337" s="14">
        <v>0.25</v>
      </c>
      <c r="F337" s="6"/>
    </row>
    <row r="338" spans="1:6" x14ac:dyDescent="0.25">
      <c r="A338" s="10">
        <v>2440</v>
      </c>
      <c r="B338" s="10" t="s">
        <v>692</v>
      </c>
      <c r="C338" s="13" t="s">
        <v>693</v>
      </c>
      <c r="D338" s="14">
        <v>0.25</v>
      </c>
      <c r="F338" s="6"/>
    </row>
    <row r="339" spans="1:6" x14ac:dyDescent="0.25">
      <c r="A339" s="10">
        <v>2441</v>
      </c>
      <c r="B339" s="10" t="s">
        <v>694</v>
      </c>
      <c r="C339" s="13" t="s">
        <v>695</v>
      </c>
      <c r="D339" s="14">
        <v>0.1</v>
      </c>
      <c r="F339" s="6"/>
    </row>
    <row r="340" spans="1:6" x14ac:dyDescent="0.25">
      <c r="A340" s="10">
        <v>2442</v>
      </c>
      <c r="B340" s="10" t="s">
        <v>696</v>
      </c>
      <c r="C340" s="13" t="s">
        <v>697</v>
      </c>
      <c r="D340" s="14">
        <v>0.5</v>
      </c>
      <c r="F340" s="6"/>
    </row>
    <row r="341" spans="1:6" x14ac:dyDescent="0.25">
      <c r="A341" s="10">
        <v>2446</v>
      </c>
      <c r="B341" s="10" t="s">
        <v>698</v>
      </c>
      <c r="C341" s="13" t="s">
        <v>699</v>
      </c>
      <c r="D341" s="14">
        <v>0.5</v>
      </c>
      <c r="F341" s="6"/>
    </row>
    <row r="342" spans="1:6" x14ac:dyDescent="0.25">
      <c r="A342" s="10">
        <v>2461</v>
      </c>
      <c r="B342" s="10" t="s">
        <v>700</v>
      </c>
      <c r="C342" s="13" t="s">
        <v>701</v>
      </c>
      <c r="D342" s="14">
        <v>0.5</v>
      </c>
      <c r="F342" s="6"/>
    </row>
    <row r="343" spans="1:6" x14ac:dyDescent="0.25">
      <c r="A343" s="10">
        <v>2473</v>
      </c>
      <c r="B343" s="10" t="s">
        <v>704</v>
      </c>
      <c r="C343" s="13" t="s">
        <v>705</v>
      </c>
      <c r="D343" s="14">
        <v>0.25</v>
      </c>
      <c r="F343" s="6"/>
    </row>
    <row r="344" spans="1:6" x14ac:dyDescent="0.25">
      <c r="A344" s="10">
        <v>2492</v>
      </c>
      <c r="B344" s="10" t="s">
        <v>707</v>
      </c>
      <c r="C344" s="13" t="s">
        <v>708</v>
      </c>
      <c r="D344" s="14">
        <v>0.25</v>
      </c>
      <c r="F344" s="6"/>
    </row>
    <row r="345" spans="1:6" x14ac:dyDescent="0.25">
      <c r="A345" s="10">
        <v>2586</v>
      </c>
      <c r="B345" s="10" t="s">
        <v>709</v>
      </c>
      <c r="C345" s="13" t="s">
        <v>710</v>
      </c>
      <c r="D345" s="14">
        <v>0.25</v>
      </c>
      <c r="F345" s="6"/>
    </row>
    <row r="346" spans="1:6" x14ac:dyDescent="0.25">
      <c r="A346" s="10">
        <v>2611</v>
      </c>
      <c r="B346" s="10" t="s">
        <v>711</v>
      </c>
      <c r="C346" s="13" t="s">
        <v>712</v>
      </c>
      <c r="D346" s="14">
        <v>0.25</v>
      </c>
      <c r="F346" s="6"/>
    </row>
    <row r="347" spans="1:6" x14ac:dyDescent="0.25">
      <c r="A347" s="10">
        <v>2613</v>
      </c>
      <c r="B347" s="10" t="s">
        <v>713</v>
      </c>
      <c r="C347" s="13" t="s">
        <v>714</v>
      </c>
      <c r="D347" s="14">
        <v>0.25</v>
      </c>
      <c r="F347" s="6"/>
    </row>
    <row r="348" spans="1:6" x14ac:dyDescent="0.25">
      <c r="A348" s="10">
        <v>2618</v>
      </c>
      <c r="B348" s="10" t="s">
        <v>715</v>
      </c>
      <c r="C348" s="13" t="s">
        <v>716</v>
      </c>
      <c r="D348" s="14">
        <v>0.25</v>
      </c>
      <c r="F348" s="6"/>
    </row>
    <row r="349" spans="1:6" x14ac:dyDescent="0.25">
      <c r="A349" s="10">
        <v>2633</v>
      </c>
      <c r="B349" s="10" t="s">
        <v>968</v>
      </c>
      <c r="C349" s="13" t="s">
        <v>909</v>
      </c>
      <c r="D349" s="14">
        <v>0.5</v>
      </c>
      <c r="F349" s="6"/>
    </row>
    <row r="350" spans="1:6" x14ac:dyDescent="0.25">
      <c r="A350" s="10">
        <v>2636</v>
      </c>
      <c r="B350" s="10" t="s">
        <v>717</v>
      </c>
      <c r="C350" s="13" t="s">
        <v>718</v>
      </c>
      <c r="D350" s="14">
        <v>0.25</v>
      </c>
      <c r="F350" s="6"/>
    </row>
    <row r="351" spans="1:6" x14ac:dyDescent="0.25">
      <c r="A351" s="10">
        <v>2663</v>
      </c>
      <c r="B351" s="10" t="s">
        <v>719</v>
      </c>
      <c r="C351" s="13" t="s">
        <v>720</v>
      </c>
      <c r="D351" s="14">
        <v>0.5</v>
      </c>
      <c r="F351" s="6"/>
    </row>
    <row r="352" spans="1:6" x14ac:dyDescent="0.25">
      <c r="A352" s="10">
        <v>2673</v>
      </c>
      <c r="B352" s="10" t="s">
        <v>721</v>
      </c>
      <c r="C352" s="13" t="s">
        <v>722</v>
      </c>
      <c r="D352" s="14">
        <v>0.25</v>
      </c>
      <c r="F352" s="6"/>
    </row>
    <row r="353" spans="1:6" x14ac:dyDescent="0.25">
      <c r="A353" s="10">
        <v>2681</v>
      </c>
      <c r="B353" s="10" t="s">
        <v>723</v>
      </c>
      <c r="C353" s="13" t="s">
        <v>724</v>
      </c>
      <c r="D353" s="14">
        <v>0.25</v>
      </c>
      <c r="F353" s="6"/>
    </row>
    <row r="354" spans="1:6" x14ac:dyDescent="0.25">
      <c r="A354" s="10">
        <v>2683</v>
      </c>
      <c r="B354" s="10" t="s">
        <v>725</v>
      </c>
      <c r="C354" s="13" t="s">
        <v>726</v>
      </c>
      <c r="D354" s="14">
        <v>0.25</v>
      </c>
      <c r="F354" s="6"/>
    </row>
    <row r="355" spans="1:6" x14ac:dyDescent="0.25">
      <c r="A355" s="10">
        <v>2716</v>
      </c>
      <c r="B355" s="10" t="s">
        <v>728</v>
      </c>
      <c r="C355" s="13" t="s">
        <v>729</v>
      </c>
      <c r="D355" s="14">
        <v>0.25</v>
      </c>
      <c r="F355" s="6"/>
    </row>
    <row r="356" spans="1:6" x14ac:dyDescent="0.25">
      <c r="A356" s="10">
        <v>2722</v>
      </c>
      <c r="B356" s="10" t="s">
        <v>730</v>
      </c>
      <c r="C356" s="13" t="s">
        <v>731</v>
      </c>
      <c r="D356" s="14">
        <v>0.75</v>
      </c>
      <c r="F356" s="6"/>
    </row>
    <row r="357" spans="1:6" x14ac:dyDescent="0.25">
      <c r="A357" s="10">
        <v>2730</v>
      </c>
      <c r="B357" s="10" t="s">
        <v>733</v>
      </c>
      <c r="C357" s="13" t="s">
        <v>734</v>
      </c>
      <c r="D357" s="14">
        <v>0.25</v>
      </c>
      <c r="F357" s="6"/>
    </row>
    <row r="358" spans="1:6" x14ac:dyDescent="0.25">
      <c r="A358" s="10">
        <v>2738</v>
      </c>
      <c r="B358" s="10" t="s">
        <v>735</v>
      </c>
      <c r="C358" s="13" t="s">
        <v>736</v>
      </c>
      <c r="D358" s="14">
        <v>0.25</v>
      </c>
      <c r="F358" s="6"/>
    </row>
    <row r="359" spans="1:6" x14ac:dyDescent="0.25">
      <c r="A359" s="10">
        <v>2742</v>
      </c>
      <c r="B359" s="10" t="s">
        <v>737</v>
      </c>
      <c r="C359" s="13" t="s">
        <v>738</v>
      </c>
      <c r="D359" s="14">
        <v>0.5</v>
      </c>
      <c r="F359" s="6"/>
    </row>
    <row r="360" spans="1:6" x14ac:dyDescent="0.25">
      <c r="A360" s="10">
        <v>2743</v>
      </c>
      <c r="B360" s="10" t="s">
        <v>739</v>
      </c>
      <c r="C360" s="13" t="s">
        <v>740</v>
      </c>
      <c r="D360" s="14">
        <v>0.5</v>
      </c>
      <c r="F360" s="6"/>
    </row>
    <row r="361" spans="1:6" x14ac:dyDescent="0.25">
      <c r="A361" s="10">
        <v>2747</v>
      </c>
      <c r="B361" s="10" t="s">
        <v>741</v>
      </c>
      <c r="C361" s="13" t="s">
        <v>742</v>
      </c>
      <c r="D361" s="14">
        <v>1</v>
      </c>
      <c r="F361" s="6"/>
    </row>
    <row r="362" spans="1:6" x14ac:dyDescent="0.25">
      <c r="A362" s="10">
        <v>2775</v>
      </c>
      <c r="B362" s="10" t="s">
        <v>746</v>
      </c>
      <c r="C362" s="13" t="s">
        <v>747</v>
      </c>
      <c r="D362" s="14">
        <v>0.5</v>
      </c>
      <c r="F362" s="6"/>
    </row>
    <row r="363" spans="1:6" x14ac:dyDescent="0.25">
      <c r="A363" s="10">
        <v>2783</v>
      </c>
      <c r="B363" s="10" t="s">
        <v>748</v>
      </c>
      <c r="C363" s="13" t="s">
        <v>749</v>
      </c>
      <c r="D363" s="14">
        <v>0.5</v>
      </c>
      <c r="F363" s="6"/>
    </row>
    <row r="364" spans="1:6" x14ac:dyDescent="0.25">
      <c r="A364" s="10">
        <v>2787</v>
      </c>
      <c r="B364" s="10" t="s">
        <v>750</v>
      </c>
      <c r="C364" s="13" t="s">
        <v>751</v>
      </c>
      <c r="D364" s="14">
        <v>0.25</v>
      </c>
      <c r="F364" s="6"/>
    </row>
    <row r="365" spans="1:6" x14ac:dyDescent="0.25">
      <c r="A365" s="10">
        <v>2797</v>
      </c>
      <c r="B365" s="10" t="s">
        <v>752</v>
      </c>
      <c r="C365" s="13" t="s">
        <v>753</v>
      </c>
      <c r="D365" s="14">
        <v>1</v>
      </c>
      <c r="F365" s="6"/>
    </row>
    <row r="366" spans="1:6" x14ac:dyDescent="0.25">
      <c r="A366" s="10">
        <v>2813</v>
      </c>
      <c r="B366" s="10" t="s">
        <v>754</v>
      </c>
      <c r="C366" s="13" t="s">
        <v>755</v>
      </c>
      <c r="D366" s="14">
        <v>0.25</v>
      </c>
      <c r="F366" s="6"/>
    </row>
    <row r="367" spans="1:6" x14ac:dyDescent="0.25">
      <c r="A367" s="10">
        <v>2819</v>
      </c>
      <c r="B367" s="10" t="s">
        <v>969</v>
      </c>
      <c r="C367" s="13" t="s">
        <v>910</v>
      </c>
      <c r="D367" s="14">
        <v>0.25</v>
      </c>
      <c r="F367" s="6"/>
    </row>
    <row r="368" spans="1:6" x14ac:dyDescent="0.25">
      <c r="A368" s="10">
        <v>2854</v>
      </c>
      <c r="B368" s="10" t="s">
        <v>760</v>
      </c>
      <c r="C368" s="13" t="s">
        <v>761</v>
      </c>
      <c r="D368" s="14">
        <v>0.6</v>
      </c>
      <c r="F368" s="6"/>
    </row>
    <row r="369" spans="1:6" x14ac:dyDescent="0.25">
      <c r="A369" s="10">
        <v>2874</v>
      </c>
      <c r="B369" s="10" t="s">
        <v>762</v>
      </c>
      <c r="C369" s="13" t="s">
        <v>763</v>
      </c>
      <c r="D369" s="14">
        <v>1.5</v>
      </c>
      <c r="F369" s="6"/>
    </row>
    <row r="370" spans="1:6" x14ac:dyDescent="0.25">
      <c r="A370" s="10">
        <v>2882</v>
      </c>
      <c r="B370" s="10" t="s">
        <v>766</v>
      </c>
      <c r="C370" s="13" t="s">
        <v>767</v>
      </c>
      <c r="D370" s="14">
        <v>0.5</v>
      </c>
      <c r="F370" s="6"/>
    </row>
    <row r="371" spans="1:6" x14ac:dyDescent="0.25">
      <c r="A371" s="10">
        <v>2888</v>
      </c>
      <c r="B371" s="10" t="s">
        <v>768</v>
      </c>
      <c r="C371" s="13" t="s">
        <v>769</v>
      </c>
      <c r="D371" s="14">
        <v>0.25</v>
      </c>
      <c r="F371" s="6"/>
    </row>
    <row r="372" spans="1:6" x14ac:dyDescent="0.25">
      <c r="A372" s="10">
        <v>2891</v>
      </c>
      <c r="B372" s="10" t="s">
        <v>771</v>
      </c>
      <c r="C372" s="13" t="s">
        <v>772</v>
      </c>
      <c r="D372" s="14">
        <v>0.25</v>
      </c>
      <c r="F372" s="6"/>
    </row>
    <row r="373" spans="1:6" x14ac:dyDescent="0.25">
      <c r="A373" s="10">
        <v>2892</v>
      </c>
      <c r="B373" s="10" t="s">
        <v>970</v>
      </c>
      <c r="C373" s="13" t="s">
        <v>911</v>
      </c>
      <c r="D373" s="14">
        <v>1</v>
      </c>
      <c r="F373" s="6"/>
    </row>
    <row r="374" spans="1:6" x14ac:dyDescent="0.25">
      <c r="A374" s="10">
        <v>2900</v>
      </c>
      <c r="B374" s="10" t="s">
        <v>773</v>
      </c>
      <c r="C374" s="13" t="s">
        <v>774</v>
      </c>
      <c r="D374" s="14">
        <v>0.25</v>
      </c>
      <c r="F374" s="6"/>
    </row>
    <row r="375" spans="1:6" x14ac:dyDescent="0.25">
      <c r="A375" s="10">
        <v>2909</v>
      </c>
      <c r="B375" s="10" t="s">
        <v>971</v>
      </c>
      <c r="C375" s="13" t="s">
        <v>912</v>
      </c>
      <c r="D375" s="14">
        <v>0.25</v>
      </c>
      <c r="F375" s="6"/>
    </row>
    <row r="376" spans="1:6" x14ac:dyDescent="0.25">
      <c r="A376" s="10">
        <v>2916</v>
      </c>
      <c r="B376" s="10" t="s">
        <v>775</v>
      </c>
      <c r="C376" s="13" t="s">
        <v>776</v>
      </c>
      <c r="D376" s="14">
        <v>0.5</v>
      </c>
      <c r="F376" s="6"/>
    </row>
    <row r="377" spans="1:6" x14ac:dyDescent="0.25">
      <c r="A377" s="10">
        <v>2919</v>
      </c>
      <c r="B377" s="10" t="s">
        <v>777</v>
      </c>
      <c r="C377" s="13" t="s">
        <v>778</v>
      </c>
      <c r="D377" s="14">
        <v>0.25</v>
      </c>
      <c r="F377" s="6"/>
    </row>
    <row r="378" spans="1:6" x14ac:dyDescent="0.25">
      <c r="A378" s="10">
        <v>2930</v>
      </c>
      <c r="B378" s="10" t="s">
        <v>779</v>
      </c>
      <c r="C378" s="13" t="s">
        <v>780</v>
      </c>
      <c r="D378" s="14">
        <v>0.25</v>
      </c>
      <c r="F378" s="6"/>
    </row>
    <row r="379" spans="1:6" x14ac:dyDescent="0.25">
      <c r="A379" s="10">
        <v>2936</v>
      </c>
      <c r="B379" s="10" t="s">
        <v>781</v>
      </c>
      <c r="C379" s="13" t="s">
        <v>782</v>
      </c>
      <c r="D379" s="14">
        <v>1</v>
      </c>
      <c r="F379" s="6"/>
    </row>
    <row r="380" spans="1:6" x14ac:dyDescent="0.25">
      <c r="A380" s="10">
        <v>2937</v>
      </c>
      <c r="B380" s="10" t="s">
        <v>783</v>
      </c>
      <c r="C380" s="13" t="s">
        <v>784</v>
      </c>
      <c r="D380" s="14">
        <v>1</v>
      </c>
      <c r="F380" s="6"/>
    </row>
    <row r="381" spans="1:6" x14ac:dyDescent="0.25">
      <c r="A381" s="10">
        <v>2938</v>
      </c>
      <c r="B381" s="10" t="s">
        <v>785</v>
      </c>
      <c r="C381" s="13" t="s">
        <v>786</v>
      </c>
      <c r="D381" s="14">
        <v>0.25</v>
      </c>
      <c r="F381" s="6"/>
    </row>
    <row r="382" spans="1:6" x14ac:dyDescent="0.25">
      <c r="A382" s="10">
        <v>2939</v>
      </c>
      <c r="B382" s="10" t="s">
        <v>787</v>
      </c>
      <c r="C382" s="13" t="s">
        <v>788</v>
      </c>
      <c r="D382" s="14">
        <v>0.75</v>
      </c>
      <c r="F382" s="6"/>
    </row>
    <row r="383" spans="1:6" x14ac:dyDescent="0.25">
      <c r="A383" s="10">
        <v>2944</v>
      </c>
      <c r="B383" s="10" t="s">
        <v>789</v>
      </c>
      <c r="C383" s="13" t="s">
        <v>790</v>
      </c>
      <c r="D383" s="14">
        <v>0.5</v>
      </c>
      <c r="F383" s="6"/>
    </row>
    <row r="384" spans="1:6" x14ac:dyDescent="0.25">
      <c r="A384" s="10">
        <v>2948</v>
      </c>
      <c r="B384" s="10" t="s">
        <v>791</v>
      </c>
      <c r="C384" s="13" t="s">
        <v>792</v>
      </c>
      <c r="D384" s="14">
        <v>0.2</v>
      </c>
      <c r="F384" s="6"/>
    </row>
    <row r="385" spans="1:6" x14ac:dyDescent="0.25">
      <c r="A385" s="10">
        <v>2949</v>
      </c>
      <c r="B385" s="10" t="s">
        <v>793</v>
      </c>
      <c r="C385" s="13" t="s">
        <v>794</v>
      </c>
      <c r="D385" s="14">
        <v>0.75</v>
      </c>
      <c r="F385" s="6"/>
    </row>
    <row r="386" spans="1:6" x14ac:dyDescent="0.25">
      <c r="A386" s="10">
        <v>2972</v>
      </c>
      <c r="B386" s="10" t="s">
        <v>795</v>
      </c>
      <c r="C386" s="13" t="s">
        <v>796</v>
      </c>
      <c r="D386" s="14">
        <v>0.25</v>
      </c>
      <c r="F386" s="6"/>
    </row>
    <row r="387" spans="1:6" x14ac:dyDescent="0.25">
      <c r="A387" s="10">
        <v>2974</v>
      </c>
      <c r="B387" s="10" t="s">
        <v>797</v>
      </c>
      <c r="C387" s="13" t="s">
        <v>798</v>
      </c>
      <c r="D387" s="14">
        <v>0.25</v>
      </c>
      <c r="F387" s="6"/>
    </row>
    <row r="388" spans="1:6" x14ac:dyDescent="0.25">
      <c r="A388" s="10">
        <v>2983</v>
      </c>
      <c r="B388" s="10" t="s">
        <v>800</v>
      </c>
      <c r="C388" s="13" t="s">
        <v>801</v>
      </c>
      <c r="D388" s="14">
        <v>0.25</v>
      </c>
      <c r="F388" s="6"/>
    </row>
    <row r="389" spans="1:6" x14ac:dyDescent="0.25">
      <c r="A389" s="10">
        <v>2989</v>
      </c>
      <c r="B389" s="10" t="s">
        <v>802</v>
      </c>
      <c r="C389" s="13" t="s">
        <v>803</v>
      </c>
      <c r="D389" s="14">
        <v>0.25</v>
      </c>
      <c r="F389" s="6"/>
    </row>
    <row r="390" spans="1:6" x14ac:dyDescent="0.25">
      <c r="A390" s="10">
        <v>2992</v>
      </c>
      <c r="B390" s="10" t="s">
        <v>804</v>
      </c>
      <c r="C390" s="13" t="s">
        <v>805</v>
      </c>
      <c r="D390" s="14">
        <v>0.25</v>
      </c>
      <c r="F390" s="6"/>
    </row>
    <row r="391" spans="1:6" x14ac:dyDescent="0.25">
      <c r="A391" s="10">
        <v>3017</v>
      </c>
      <c r="B391" s="10" t="s">
        <v>972</v>
      </c>
      <c r="C391" s="13" t="s">
        <v>913</v>
      </c>
      <c r="D391" s="14">
        <v>1</v>
      </c>
      <c r="F391" s="6"/>
    </row>
    <row r="392" spans="1:6" x14ac:dyDescent="0.25">
      <c r="A392" s="10">
        <v>3041</v>
      </c>
      <c r="B392" s="10" t="s">
        <v>806</v>
      </c>
      <c r="C392" s="13" t="s">
        <v>807</v>
      </c>
      <c r="D392" s="14">
        <v>0.25</v>
      </c>
      <c r="F392" s="6"/>
    </row>
    <row r="393" spans="1:6" x14ac:dyDescent="0.25">
      <c r="A393" s="10">
        <v>3062</v>
      </c>
      <c r="B393" s="10" t="s">
        <v>809</v>
      </c>
      <c r="C393" s="13" t="s">
        <v>810</v>
      </c>
      <c r="D393" s="14">
        <v>0.5</v>
      </c>
      <c r="F393" s="6"/>
    </row>
    <row r="394" spans="1:6" x14ac:dyDescent="0.25">
      <c r="A394" s="10">
        <v>3063</v>
      </c>
      <c r="B394" s="10" t="s">
        <v>811</v>
      </c>
      <c r="C394" s="13" t="s">
        <v>812</v>
      </c>
      <c r="D394" s="14">
        <v>0.5</v>
      </c>
      <c r="F394" s="6"/>
    </row>
    <row r="395" spans="1:6" x14ac:dyDescent="0.25">
      <c r="A395" s="10">
        <v>3072</v>
      </c>
      <c r="B395" s="10" t="s">
        <v>973</v>
      </c>
      <c r="C395" s="13" t="s">
        <v>914</v>
      </c>
      <c r="D395" s="14">
        <v>0.25</v>
      </c>
      <c r="F395" s="6"/>
    </row>
    <row r="396" spans="1:6" x14ac:dyDescent="0.25">
      <c r="A396" s="10">
        <v>3082</v>
      </c>
      <c r="B396" s="10" t="s">
        <v>813</v>
      </c>
      <c r="C396" s="13" t="s">
        <v>814</v>
      </c>
      <c r="D396" s="14">
        <v>0.5</v>
      </c>
      <c r="F396" s="6"/>
    </row>
    <row r="397" spans="1:6" x14ac:dyDescent="0.25">
      <c r="A397" s="10">
        <v>3086</v>
      </c>
      <c r="B397" s="10" t="s">
        <v>815</v>
      </c>
      <c r="C397" s="13" t="s">
        <v>816</v>
      </c>
      <c r="D397" s="14">
        <v>0.25</v>
      </c>
      <c r="F397" s="6"/>
    </row>
    <row r="398" spans="1:6" x14ac:dyDescent="0.25">
      <c r="A398" s="10">
        <v>3087</v>
      </c>
      <c r="B398" s="10" t="s">
        <v>817</v>
      </c>
      <c r="C398" s="13" t="s">
        <v>818</v>
      </c>
      <c r="D398" s="14">
        <v>0.25</v>
      </c>
      <c r="F398" s="6"/>
    </row>
    <row r="399" spans="1:6" x14ac:dyDescent="0.25">
      <c r="A399" s="10">
        <v>3092</v>
      </c>
      <c r="B399" s="10" t="s">
        <v>819</v>
      </c>
      <c r="C399" s="13" t="s">
        <v>820</v>
      </c>
      <c r="D399" s="14">
        <v>0.25</v>
      </c>
      <c r="F399" s="6"/>
    </row>
    <row r="400" spans="1:6" x14ac:dyDescent="0.25">
      <c r="A400" s="10">
        <v>7650</v>
      </c>
      <c r="B400" s="10" t="s">
        <v>821</v>
      </c>
      <c r="C400" s="13" t="s">
        <v>822</v>
      </c>
      <c r="D400" s="14">
        <v>2</v>
      </c>
      <c r="F400" s="6"/>
    </row>
    <row r="401" spans="1:6" x14ac:dyDescent="0.25">
      <c r="A401" s="10">
        <v>7651</v>
      </c>
      <c r="B401" s="10" t="s">
        <v>823</v>
      </c>
      <c r="C401" s="13" t="s">
        <v>824</v>
      </c>
      <c r="D401" s="14">
        <v>1</v>
      </c>
      <c r="F401" s="6"/>
    </row>
    <row r="402" spans="1:6" x14ac:dyDescent="0.25">
      <c r="A402" s="10">
        <v>7652</v>
      </c>
      <c r="B402" s="10" t="s">
        <v>974</v>
      </c>
      <c r="C402" s="13" t="s">
        <v>915</v>
      </c>
      <c r="D402" s="14">
        <v>0.25</v>
      </c>
      <c r="F402" s="6"/>
    </row>
    <row r="403" spans="1:6" x14ac:dyDescent="0.25">
      <c r="A403" s="10">
        <v>7655</v>
      </c>
      <c r="B403" s="10" t="s">
        <v>825</v>
      </c>
      <c r="C403" s="13" t="s">
        <v>826</v>
      </c>
      <c r="D403" s="14">
        <v>1</v>
      </c>
      <c r="F403" s="6"/>
    </row>
    <row r="404" spans="1:6" x14ac:dyDescent="0.25">
      <c r="A404" s="10">
        <v>7659</v>
      </c>
      <c r="B404" s="10" t="s">
        <v>827</v>
      </c>
      <c r="C404" s="13" t="s">
        <v>828</v>
      </c>
      <c r="D404" s="14">
        <v>0.25</v>
      </c>
      <c r="F404" s="6"/>
    </row>
    <row r="405" spans="1:6" x14ac:dyDescent="0.25">
      <c r="A405" s="10">
        <v>7660</v>
      </c>
      <c r="B405" s="10" t="s">
        <v>975</v>
      </c>
      <c r="C405" s="13" t="s">
        <v>916</v>
      </c>
      <c r="D405" s="14">
        <v>0.25</v>
      </c>
      <c r="F405" s="6"/>
    </row>
    <row r="406" spans="1:6" x14ac:dyDescent="0.25">
      <c r="A406" s="10">
        <v>7661</v>
      </c>
      <c r="B406" s="10" t="s">
        <v>829</v>
      </c>
      <c r="C406" s="13" t="s">
        <v>830</v>
      </c>
      <c r="D406" s="14">
        <v>1</v>
      </c>
      <c r="F406" s="6"/>
    </row>
    <row r="407" spans="1:6" x14ac:dyDescent="0.25">
      <c r="A407" s="10">
        <v>7662</v>
      </c>
      <c r="B407" s="10" t="s">
        <v>831</v>
      </c>
      <c r="C407" s="13" t="s">
        <v>832</v>
      </c>
      <c r="D407" s="14">
        <v>1</v>
      </c>
      <c r="F407" s="6"/>
    </row>
    <row r="408" spans="1:6" x14ac:dyDescent="0.25">
      <c r="A408" s="10">
        <v>7692</v>
      </c>
      <c r="B408" s="10" t="s">
        <v>842</v>
      </c>
      <c r="C408" s="13" t="s">
        <v>843</v>
      </c>
      <c r="D408" s="14">
        <v>0.25</v>
      </c>
      <c r="F408" s="6"/>
    </row>
    <row r="409" spans="1:6" x14ac:dyDescent="0.25">
      <c r="A409" s="10">
        <v>11270</v>
      </c>
      <c r="B409" s="10" t="s">
        <v>976</v>
      </c>
      <c r="C409" s="13" t="s">
        <v>917</v>
      </c>
      <c r="D409" s="14">
        <v>0.5</v>
      </c>
      <c r="F409" s="6"/>
    </row>
    <row r="410" spans="1:6" x14ac:dyDescent="0.25">
      <c r="A410" s="10">
        <v>12521</v>
      </c>
      <c r="B410" s="10" t="s">
        <v>977</v>
      </c>
      <c r="C410" s="13" t="s">
        <v>918</v>
      </c>
      <c r="D410" s="14">
        <v>0.5</v>
      </c>
      <c r="F410" s="6"/>
    </row>
    <row r="411" spans="1:6" x14ac:dyDescent="0.25">
      <c r="F411" s="6"/>
    </row>
    <row r="412" spans="1:6" x14ac:dyDescent="0.25">
      <c r="F412" s="6"/>
    </row>
    <row r="413" spans="1:6" x14ac:dyDescent="0.25">
      <c r="F413" s="6"/>
    </row>
    <row r="414" spans="1:6" x14ac:dyDescent="0.25">
      <c r="F414" s="6"/>
    </row>
    <row r="415" spans="1:6" x14ac:dyDescent="0.25">
      <c r="F415" s="6"/>
    </row>
    <row r="416" spans="1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6:6" x14ac:dyDescent="0.25">
      <c r="F481" s="6"/>
    </row>
    <row r="482" spans="6:6" x14ac:dyDescent="0.25">
      <c r="F482" s="6"/>
    </row>
    <row r="483" spans="6:6" x14ac:dyDescent="0.25">
      <c r="F483" s="6"/>
    </row>
    <row r="484" spans="6:6" x14ac:dyDescent="0.25">
      <c r="F484" s="6"/>
    </row>
    <row r="485" spans="6:6" x14ac:dyDescent="0.25">
      <c r="F485" s="6"/>
    </row>
    <row r="486" spans="6:6" x14ac:dyDescent="0.25">
      <c r="F486" s="6"/>
    </row>
    <row r="487" spans="6:6" x14ac:dyDescent="0.25">
      <c r="F487" s="6"/>
    </row>
    <row r="488" spans="6:6" x14ac:dyDescent="0.25">
      <c r="F488" s="6"/>
    </row>
    <row r="489" spans="6:6" x14ac:dyDescent="0.25">
      <c r="F489" s="6"/>
    </row>
    <row r="490" spans="6:6" x14ac:dyDescent="0.25">
      <c r="F490" s="6"/>
    </row>
    <row r="491" spans="6:6" x14ac:dyDescent="0.25">
      <c r="F491" s="6"/>
    </row>
    <row r="493" spans="6:6" x14ac:dyDescent="0.25">
      <c r="F493" s="8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Pet Food &amp; Totes</vt:lpstr>
      <vt:lpstr>A1A Nuts</vt:lpstr>
      <vt:lpstr>A1B Baking</vt:lpstr>
      <vt:lpstr>A2A Cereals &amp; Mixes</vt:lpstr>
      <vt:lpstr>A2B Snacks</vt:lpstr>
      <vt:lpstr>A3A Chocolate &amp; Seasonal</vt:lpstr>
      <vt:lpstr>A3B Gummi &amp; Misc. Candy</vt:lpstr>
      <vt:lpstr>A4A Gummi Candy Cont.</vt:lpstr>
      <vt:lpstr>A4B Salt, Pasta, &amp; Soup</vt:lpstr>
      <vt:lpstr>Tower Bins</vt:lpstr>
      <vt:lpstr>Wet Pails, Honey, Etc.</vt:lpstr>
      <vt:lpstr>A5A&amp;B Gluten-Free, Seeds, Drink</vt:lpstr>
      <vt:lpstr>Coffee &amp; Teas</vt:lpstr>
      <vt:lpstr>Saybon, Stick &amp; Rock Candy</vt:lpstr>
      <vt:lpstr>Spices</vt:lpstr>
      <vt:lpstr>BRI Insert</vt:lpstr>
      <vt:lpstr>Product Names BRI</vt:lpstr>
      <vt:lpstr>MISC</vt:lpstr>
      <vt:lpstr>BRI Original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Mulholland</dc:creator>
  <cp:lastModifiedBy>Office</cp:lastModifiedBy>
  <cp:lastPrinted>2017-05-25T21:46:57Z</cp:lastPrinted>
  <dcterms:created xsi:type="dcterms:W3CDTF">2017-05-20T15:06:54Z</dcterms:created>
  <dcterms:modified xsi:type="dcterms:W3CDTF">2017-05-26T15:21:50Z</dcterms:modified>
</cp:coreProperties>
</file>